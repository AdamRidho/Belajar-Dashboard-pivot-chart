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sus\Documents\Belajar Dashboard pivot chart\"/>
    </mc:Choice>
  </mc:AlternateContent>
  <xr:revisionPtr revIDLastSave="0" documentId="13_ncr:1_{48D84567-1A6A-42FE-ADDD-88BA7A41315E}" xr6:coauthVersionLast="47" xr6:coauthVersionMax="47" xr10:uidLastSave="{00000000-0000-0000-0000-000000000000}"/>
  <bookViews>
    <workbookView xWindow="-120" yWindow="-120" windowWidth="29040" windowHeight="15720" xr2:uid="{867FB9DE-C9F9-49D9-BAA4-0D6237A2D030}"/>
  </bookViews>
  <sheets>
    <sheet name="Dashboard " sheetId="8" r:id="rId1"/>
    <sheet name="Sheet2" sheetId="7" r:id="rId2"/>
    <sheet name="Sheet1" sheetId="6" r:id="rId3"/>
  </sheets>
  <definedNames>
    <definedName name="NativeTimeline_Tanggal">#N/A</definedName>
    <definedName name="Slicer_Material">#N/A</definedName>
    <definedName name="Slicer_Sales">#N/A</definedName>
    <definedName name="Slicer_Sumber_Materia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5" i="8" l="1"/>
  <c r="S5" i="8"/>
  <c r="C5" i="8"/>
</calcChain>
</file>

<file path=xl/sharedStrings.xml><?xml version="1.0" encoding="utf-8"?>
<sst xmlns="http://schemas.openxmlformats.org/spreadsheetml/2006/main" count="691" uniqueCount="39">
  <si>
    <t>Pasir</t>
  </si>
  <si>
    <t>Volume</t>
  </si>
  <si>
    <t>Kerikil</t>
  </si>
  <si>
    <t>Tanggal</t>
  </si>
  <si>
    <t>Material</t>
  </si>
  <si>
    <t>Total pembelian</t>
  </si>
  <si>
    <t>Harga satuan pembelian</t>
  </si>
  <si>
    <t>Harga satuan penjualan</t>
  </si>
  <si>
    <t>Total Penjualan</t>
  </si>
  <si>
    <t>Laba</t>
  </si>
  <si>
    <t>Batu Kali</t>
  </si>
  <si>
    <t>anto</t>
  </si>
  <si>
    <t>Gunung Merapi</t>
  </si>
  <si>
    <t>Tono</t>
  </si>
  <si>
    <t>Rudi</t>
  </si>
  <si>
    <t>Magelang</t>
  </si>
  <si>
    <t>Temanggung</t>
  </si>
  <si>
    <t>Sales</t>
  </si>
  <si>
    <t>Sumber Material</t>
  </si>
  <si>
    <t>Sum of Total pembelian</t>
  </si>
  <si>
    <t>Sum of Total Penjualan</t>
  </si>
  <si>
    <t>Sum of Laba</t>
  </si>
  <si>
    <t>DASHBOARD SALES MATERIAL ALAM</t>
  </si>
  <si>
    <t>TOTAL PEMBELIAN</t>
  </si>
  <si>
    <t>TOTAL PENJUALAN</t>
  </si>
  <si>
    <t>TOTAL LABA</t>
  </si>
  <si>
    <t>Row Labels</t>
  </si>
  <si>
    <t>Grand Total</t>
  </si>
  <si>
    <t>Sum of Volume</t>
  </si>
  <si>
    <t>pembelian</t>
  </si>
  <si>
    <t>Penjualan</t>
  </si>
  <si>
    <t>Total Laba</t>
  </si>
  <si>
    <t>Jan</t>
  </si>
  <si>
    <t>Feb</t>
  </si>
  <si>
    <t>Mar</t>
  </si>
  <si>
    <t>Apr</t>
  </si>
  <si>
    <t>May</t>
  </si>
  <si>
    <t>Jun</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</si>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</sst>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quot;Rp&quot;#,##0"/>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72"/>
      <color theme="1"/>
      <name val="Calibri"/>
      <family val="2"/>
      <scheme val="minor"/>
    </font>
  </fonts>
  <fills count="4">
    <fill>
      <patternFill patternType="none"/>
    </fill>
    <fill>
      <patternFill patternType="gray125"/>
    </fill>
    <fill>
      <patternFill patternType="solid">
        <fgColor rgb="FF227ACB"/>
        <bgColor indexed="64"/>
      </patternFill>
    </fill>
    <fill>
      <patternFill patternType="solid">
        <fgColor rgb="FFA3DBFF"/>
        <bgColor indexed="64"/>
      </patternFill>
    </fill>
  </fills>
  <borders count="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2">
    <xf numFmtId="0" fontId="0" fillId="0" borderId="0"/>
    <xf numFmtId="164" fontId="1" fillId="0" borderId="0" applyFont="0" applyFill="0" applyBorder="0" applyAlignment="0" applyProtection="0"/>
  </cellStyleXfs>
  <cellXfs count="11">
    <xf numFmtId="0" fontId="0" fillId="0" borderId="0" xfId="0"/>
    <xf numFmtId="164" fontId="0" fillId="0" borderId="0" xfId="1" applyFont="1"/>
    <xf numFmtId="14" fontId="0" fillId="0" borderId="0" xfId="0" applyNumberFormat="1"/>
    <xf numFmtId="0" fontId="0" fillId="0" borderId="0" xfId="0" pivotButton="1"/>
    <xf numFmtId="0" fontId="0" fillId="2" borderId="0" xfId="0" applyFill="1"/>
    <xf numFmtId="165" fontId="2" fillId="0" borderId="2" xfId="0" applyNumberFormat="1" applyFont="1" applyBorder="1" applyAlignment="1">
      <alignment horizontal="center"/>
    </xf>
    <xf numFmtId="0" fontId="0" fillId="0" borderId="0" xfId="0" applyAlignment="1">
      <alignment horizontal="left"/>
    </xf>
    <xf numFmtId="0" fontId="2" fillId="0" borderId="0" xfId="0" applyFont="1" applyAlignment="1">
      <alignment horizontal="center"/>
    </xf>
    <xf numFmtId="165" fontId="2" fillId="0" borderId="0" xfId="0" applyNumberFormat="1" applyFont="1" applyAlignment="1">
      <alignment horizontal="center"/>
    </xf>
    <xf numFmtId="0" fontId="2" fillId="3" borderId="1" xfId="0" applyFont="1" applyFill="1" applyBorder="1" applyAlignment="1">
      <alignment horizontal="center"/>
    </xf>
    <xf numFmtId="0" fontId="3" fillId="0" borderId="0" xfId="0" applyFont="1" applyAlignment="1">
      <alignment horizontal="center"/>
    </xf>
  </cellXfs>
  <cellStyles count="2">
    <cellStyle name="Comma [0]" xfId="1" builtinId="6"/>
    <cellStyle name="Normal" xfId="0" builtinId="0"/>
  </cellStyles>
  <dxfs count="16">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9" formatCode="dd/mm/yyyy"/>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[H24. Belajar Dashboard pivot chart Raw - Copy.xlsx]Sheet2!PivotTable4</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D"/>
              <a:t>Total Volume Material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D"/>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Sheet2!$B$13</c:f>
              <c:strCache>
                <c:ptCount val="1"/>
                <c:pt idx="0">
                  <c:v>Total</c:v>
                </c:pt>
              </c:strCache>
            </c:strRef>
          </c:tx>
          <c:spPr>
            <a:solidFill>
              <a:schemeClr val="accent5"/>
            </a:solidFill>
            <a:ln>
              <a:noFill/>
            </a:ln>
            <a:effectLst/>
          </c:spPr>
          <c:invertIfNegative val="0"/>
          <c:cat>
            <c:strRef>
              <c:f>Sheet2!$A$14:$A$17</c:f>
              <c:strCache>
                <c:ptCount val="3"/>
                <c:pt idx="0">
                  <c:v>Batu Kali</c:v>
                </c:pt>
                <c:pt idx="1">
                  <c:v>Kerikil</c:v>
                </c:pt>
                <c:pt idx="2">
                  <c:v>Pasir</c:v>
                </c:pt>
              </c:strCache>
            </c:strRef>
          </c:cat>
          <c:val>
            <c:numRef>
              <c:f>Sheet2!$B$14:$B$17</c:f>
              <c:numCache>
                <c:formatCode>General</c:formatCode>
                <c:ptCount val="3"/>
                <c:pt idx="0">
                  <c:v>4650</c:v>
                </c:pt>
                <c:pt idx="1">
                  <c:v>4390</c:v>
                </c:pt>
                <c:pt idx="2">
                  <c:v>4620</c:v>
                </c:pt>
              </c:numCache>
            </c:numRef>
          </c:val>
          <c:extLst>
            <c:ext xmlns:c16="http://schemas.microsoft.com/office/drawing/2014/chart" uri="{C3380CC4-5D6E-409C-BE32-E72D297353CC}">
              <c16:uniqueId val="{00000000-95F0-48FE-B553-9A1B5692691C}"/>
            </c:ext>
          </c:extLst>
        </c:ser>
        <c:dLbls>
          <c:showLegendKey val="0"/>
          <c:showVal val="0"/>
          <c:showCatName val="0"/>
          <c:showSerName val="0"/>
          <c:showPercent val="0"/>
          <c:showBubbleSize val="0"/>
        </c:dLbls>
        <c:gapWidth val="219"/>
        <c:overlap val="-27"/>
        <c:axId val="1641920879"/>
        <c:axId val="1641906959"/>
      </c:barChart>
      <c:catAx>
        <c:axId val="164192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41906959"/>
        <c:crosses val="autoZero"/>
        <c:auto val="1"/>
        <c:lblAlgn val="ctr"/>
        <c:lblOffset val="100"/>
        <c:noMultiLvlLbl val="0"/>
      </c:catAx>
      <c:valAx>
        <c:axId val="16419069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4192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8575"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[H24. Belajar Dashboard pivot chart Raw - Copy.xlsx]Sheet2!PivotTable5</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Total Laba Per kayawan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Sheet2!$B$27</c:f>
              <c:strCache>
                <c:ptCount val="1"/>
                <c:pt idx="0">
                  <c:v>pembelian</c:v>
                </c:pt>
              </c:strCache>
            </c:strRef>
          </c:tx>
          <c:spPr>
            <a:solidFill>
              <a:schemeClr val="accent1">
                <a:tint val="65000"/>
              </a:schemeClr>
            </a:solidFill>
            <a:ln>
              <a:noFill/>
            </a:ln>
            <a:effectLst/>
          </c:spPr>
          <c:invertIfNegative val="0"/>
          <c:cat>
            <c:strRef>
              <c:f>Sheet2!$A$28:$A$31</c:f>
              <c:strCache>
                <c:ptCount val="3"/>
                <c:pt idx="0">
                  <c:v>anto</c:v>
                </c:pt>
                <c:pt idx="1">
                  <c:v>Rudi</c:v>
                </c:pt>
                <c:pt idx="2">
                  <c:v>Tono</c:v>
                </c:pt>
              </c:strCache>
            </c:strRef>
          </c:cat>
          <c:val>
            <c:numRef>
              <c:f>Sheet2!$B$28:$B$31</c:f>
              <c:numCache>
                <c:formatCode>General</c:formatCode>
                <c:ptCount val="3"/>
                <c:pt idx="0">
                  <c:v>1404050000</c:v>
                </c:pt>
                <c:pt idx="1">
                  <c:v>406350000</c:v>
                </c:pt>
                <c:pt idx="2">
                  <c:v>251400000</c:v>
                </c:pt>
              </c:numCache>
            </c:numRef>
          </c:val>
          <c:extLst>
            <c:ext xmlns:c16="http://schemas.microsoft.com/office/drawing/2014/chart" uri="{C3380CC4-5D6E-409C-BE32-E72D297353CC}">
              <c16:uniqueId val="{00000000-E88E-4CDA-A3F6-C995CF66F2CF}"/>
            </c:ext>
          </c:extLst>
        </c:ser>
        <c:ser>
          <c:idx val="1"/>
          <c:order val="1"/>
          <c:tx>
            <c:strRef>
              <c:f>Sheet2!$C$27</c:f>
              <c:strCache>
                <c:ptCount val="1"/>
                <c:pt idx="0">
                  <c:v>Penjualan</c:v>
                </c:pt>
              </c:strCache>
            </c:strRef>
          </c:tx>
          <c:spPr>
            <a:solidFill>
              <a:schemeClr val="accent1"/>
            </a:solidFill>
            <a:ln>
              <a:noFill/>
            </a:ln>
            <a:effectLst/>
          </c:spPr>
          <c:invertIfNegative val="0"/>
          <c:cat>
            <c:strRef>
              <c:f>Sheet2!$A$28:$A$31</c:f>
              <c:strCache>
                <c:ptCount val="3"/>
                <c:pt idx="0">
                  <c:v>anto</c:v>
                </c:pt>
                <c:pt idx="1">
                  <c:v>Rudi</c:v>
                </c:pt>
                <c:pt idx="2">
                  <c:v>Tono</c:v>
                </c:pt>
              </c:strCache>
            </c:strRef>
          </c:cat>
          <c:val>
            <c:numRef>
              <c:f>Sheet2!$C$28:$C$31</c:f>
              <c:numCache>
                <c:formatCode>General</c:formatCode>
                <c:ptCount val="3"/>
                <c:pt idx="0">
                  <c:v>2040900000</c:v>
                </c:pt>
                <c:pt idx="1">
                  <c:v>570750000</c:v>
                </c:pt>
                <c:pt idx="2">
                  <c:v>326250000</c:v>
                </c:pt>
              </c:numCache>
            </c:numRef>
          </c:val>
          <c:extLst>
            <c:ext xmlns:c16="http://schemas.microsoft.com/office/drawing/2014/chart" uri="{C3380CC4-5D6E-409C-BE32-E72D297353CC}">
              <c16:uniqueId val="{00000001-E88E-4CDA-A3F6-C995CF66F2CF}"/>
            </c:ext>
          </c:extLst>
        </c:ser>
        <c:ser>
          <c:idx val="2"/>
          <c:order val="2"/>
          <c:tx>
            <c:strRef>
              <c:f>Sheet2!$D$27</c:f>
              <c:strCache>
                <c:ptCount val="1"/>
                <c:pt idx="0">
                  <c:v>Total Laba</c:v>
                </c:pt>
              </c:strCache>
            </c:strRef>
          </c:tx>
          <c:spPr>
            <a:solidFill>
              <a:schemeClr val="accent1">
                <a:shade val="65000"/>
              </a:schemeClr>
            </a:solidFill>
            <a:ln>
              <a:noFill/>
            </a:ln>
            <a:effectLst/>
          </c:spPr>
          <c:invertIfNegative val="0"/>
          <c:cat>
            <c:strRef>
              <c:f>Sheet2!$A$28:$A$31</c:f>
              <c:strCache>
                <c:ptCount val="3"/>
                <c:pt idx="0">
                  <c:v>anto</c:v>
                </c:pt>
                <c:pt idx="1">
                  <c:v>Rudi</c:v>
                </c:pt>
                <c:pt idx="2">
                  <c:v>Tono</c:v>
                </c:pt>
              </c:strCache>
            </c:strRef>
          </c:cat>
          <c:val>
            <c:numRef>
              <c:f>Sheet2!$D$28:$D$31</c:f>
              <c:numCache>
                <c:formatCode>General</c:formatCode>
                <c:ptCount val="3"/>
                <c:pt idx="0">
                  <c:v>636850000</c:v>
                </c:pt>
                <c:pt idx="1">
                  <c:v>164400000</c:v>
                </c:pt>
                <c:pt idx="2">
                  <c:v>74850000</c:v>
                </c:pt>
              </c:numCache>
            </c:numRef>
          </c:val>
          <c:extLst>
            <c:ext xmlns:c16="http://schemas.microsoft.com/office/drawing/2014/chart" uri="{C3380CC4-5D6E-409C-BE32-E72D297353CC}">
              <c16:uniqueId val="{00000003-E88E-4CDA-A3F6-C995CF66F2CF}"/>
            </c:ext>
          </c:extLst>
        </c:ser>
        <c:dLbls>
          <c:showLegendKey val="0"/>
          <c:showVal val="0"/>
          <c:showCatName val="0"/>
          <c:showSerName val="0"/>
          <c:showPercent val="0"/>
          <c:showBubbleSize val="0"/>
        </c:dLbls>
        <c:gapWidth val="219"/>
        <c:overlap val="-27"/>
        <c:axId val="1605091071"/>
        <c:axId val="1605091551"/>
      </c:barChart>
      <c:catAx>
        <c:axId val="160509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05091551"/>
        <c:crosses val="autoZero"/>
        <c:auto val="1"/>
        <c:lblAlgn val="ctr"/>
        <c:lblOffset val="100"/>
        <c:noMultiLvlLbl val="0"/>
      </c:catAx>
      <c:valAx>
        <c:axId val="1605091551"/>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0509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8575"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[H24. Belajar Dashboard pivot chart Raw - Copy.xlsx]Sheet2!PivotTable6</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Sheet2!$B$44</c:f>
              <c:strCache>
                <c:ptCount val="1"/>
                <c:pt idx="0">
                  <c:v>pembelian</c:v>
                </c:pt>
              </c:strCache>
            </c:strRef>
          </c:tx>
          <c:spPr>
            <a:solidFill>
              <a:schemeClr val="accent1"/>
            </a:solidFill>
            <a:ln>
              <a:noFill/>
            </a:ln>
            <a:effectLst/>
          </c:spPr>
          <c:invertIfNegative val="0"/>
          <c:cat>
            <c:strRef>
              <c:f>Sheet2!$A$45:$A$48</c:f>
              <c:strCache>
                <c:ptCount val="3"/>
                <c:pt idx="0">
                  <c:v>Batu Kali</c:v>
                </c:pt>
                <c:pt idx="1">
                  <c:v>Kerikil</c:v>
                </c:pt>
                <c:pt idx="2">
                  <c:v>Pasir</c:v>
                </c:pt>
              </c:strCache>
            </c:strRef>
          </c:cat>
          <c:val>
            <c:numRef>
              <c:f>Sheet2!$B$45:$B$48</c:f>
              <c:numCache>
                <c:formatCode>General</c:formatCode>
                <c:ptCount val="3"/>
                <c:pt idx="0">
                  <c:v>703950000</c:v>
                </c:pt>
                <c:pt idx="1">
                  <c:v>643450000</c:v>
                </c:pt>
                <c:pt idx="2">
                  <c:v>714400000</c:v>
                </c:pt>
              </c:numCache>
            </c:numRef>
          </c:val>
          <c:extLst>
            <c:ext xmlns:c16="http://schemas.microsoft.com/office/drawing/2014/chart" uri="{C3380CC4-5D6E-409C-BE32-E72D297353CC}">
              <c16:uniqueId val="{00000000-E9C6-4CE1-87CF-C0DDD208B374}"/>
            </c:ext>
          </c:extLst>
        </c:ser>
        <c:ser>
          <c:idx val="1"/>
          <c:order val="1"/>
          <c:tx>
            <c:strRef>
              <c:f>Sheet2!$C$44</c:f>
              <c:strCache>
                <c:ptCount val="1"/>
                <c:pt idx="0">
                  <c:v>Penjualan</c:v>
                </c:pt>
              </c:strCache>
            </c:strRef>
          </c:tx>
          <c:spPr>
            <a:solidFill>
              <a:schemeClr val="accent3"/>
            </a:solidFill>
            <a:ln>
              <a:noFill/>
            </a:ln>
            <a:effectLst/>
          </c:spPr>
          <c:invertIfNegative val="0"/>
          <c:cat>
            <c:strRef>
              <c:f>Sheet2!$A$45:$A$48</c:f>
              <c:strCache>
                <c:ptCount val="3"/>
                <c:pt idx="0">
                  <c:v>Batu Kali</c:v>
                </c:pt>
                <c:pt idx="1">
                  <c:v>Kerikil</c:v>
                </c:pt>
                <c:pt idx="2">
                  <c:v>Pasir</c:v>
                </c:pt>
              </c:strCache>
            </c:strRef>
          </c:cat>
          <c:val>
            <c:numRef>
              <c:f>Sheet2!$C$45:$C$48</c:f>
              <c:numCache>
                <c:formatCode>General</c:formatCode>
                <c:ptCount val="3"/>
                <c:pt idx="0">
                  <c:v>976500000</c:v>
                </c:pt>
                <c:pt idx="1">
                  <c:v>921900000</c:v>
                </c:pt>
                <c:pt idx="2">
                  <c:v>1039500000</c:v>
                </c:pt>
              </c:numCache>
            </c:numRef>
          </c:val>
          <c:extLst>
            <c:ext xmlns:c16="http://schemas.microsoft.com/office/drawing/2014/chart" uri="{C3380CC4-5D6E-409C-BE32-E72D297353CC}">
              <c16:uniqueId val="{00000001-E9C6-4CE1-87CF-C0DDD208B374}"/>
            </c:ext>
          </c:extLst>
        </c:ser>
        <c:ser>
          <c:idx val="2"/>
          <c:order val="2"/>
          <c:tx>
            <c:strRef>
              <c:f>Sheet2!$D$44</c:f>
              <c:strCache>
                <c:ptCount val="1"/>
                <c:pt idx="0">
                  <c:v>Total Laba</c:v>
                </c:pt>
              </c:strCache>
            </c:strRef>
          </c:tx>
          <c:spPr>
            <a:solidFill>
              <a:schemeClr val="accent5"/>
            </a:solidFill>
            <a:ln>
              <a:noFill/>
            </a:ln>
            <a:effectLst/>
          </c:spPr>
          <c:invertIfNegative val="0"/>
          <c:cat>
            <c:strRef>
              <c:f>Sheet2!$A$45:$A$48</c:f>
              <c:strCache>
                <c:ptCount val="3"/>
                <c:pt idx="0">
                  <c:v>Batu Kali</c:v>
                </c:pt>
                <c:pt idx="1">
                  <c:v>Kerikil</c:v>
                </c:pt>
                <c:pt idx="2">
                  <c:v>Pasir</c:v>
                </c:pt>
              </c:strCache>
            </c:strRef>
          </c:cat>
          <c:val>
            <c:numRef>
              <c:f>Sheet2!$D$45:$D$48</c:f>
              <c:numCache>
                <c:formatCode>General</c:formatCode>
                <c:ptCount val="3"/>
                <c:pt idx="0">
                  <c:v>272550000</c:v>
                </c:pt>
                <c:pt idx="1">
                  <c:v>278450000</c:v>
                </c:pt>
                <c:pt idx="2">
                  <c:v>325100000</c:v>
                </c:pt>
              </c:numCache>
            </c:numRef>
          </c:val>
          <c:extLst>
            <c:ext xmlns:c16="http://schemas.microsoft.com/office/drawing/2014/chart" uri="{C3380CC4-5D6E-409C-BE32-E72D297353CC}">
              <c16:uniqueId val="{00000002-E9C6-4CE1-87CF-C0DDD208B374}"/>
            </c:ext>
          </c:extLst>
        </c:ser>
        <c:dLbls>
          <c:showLegendKey val="0"/>
          <c:showVal val="0"/>
          <c:showCatName val="0"/>
          <c:showSerName val="0"/>
          <c:showPercent val="0"/>
          <c:showBubbleSize val="0"/>
        </c:dLbls>
        <c:gapWidth val="219"/>
        <c:overlap val="-27"/>
        <c:axId val="473561311"/>
        <c:axId val="473556511"/>
      </c:barChart>
      <c:catAx>
        <c:axId val="47356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73556511"/>
        <c:crosses val="autoZero"/>
        <c:auto val="1"/>
        <c:lblAlgn val="ctr"/>
        <c:lblOffset val="100"/>
        <c:noMultiLvlLbl val="0"/>
      </c:catAx>
      <c:valAx>
        <c:axId val="473556511"/>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7356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8575"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[H24. Belajar Dashboard pivot chart Raw - Copy.xlsx]Sheet2!PivotTable7</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quot;Rp&quot;#,##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Sheet2!$B$67</c:f>
              <c:strCache>
                <c:ptCount val="1"/>
                <c:pt idx="0">
                  <c:v>Total</c:v>
                </c:pt>
              </c:strCache>
            </c:strRef>
          </c:tx>
          <c:spPr>
            <a:ln w="28575" cap="rnd">
              <a:solidFill>
                <a:schemeClr val="accent1"/>
              </a:solidFill>
              <a:round/>
            </a:ln>
            <a:effectLst/>
          </c:spPr>
          <c:marker>
            <c:symbol val="none"/>
          </c:marker>
          <c:dLbls>
            <c:numFmt formatCode="&quot;Rp&quot;#,##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Sheet2!$A$68:$A$75</c:f>
              <c:strCache>
                <c:ptCount val="7"/>
                <c:pt idx="0">
                  <c:v>Jan</c:v>
                </c:pt>
                <c:pt idx="1">
                  <c:v>Feb</c:v>
                </c:pt>
                <c:pt idx="2">
                  <c:v>Mar</c:v>
                </c:pt>
                <c:pt idx="3">
                  <c:v>Apr</c:v>
                </c:pt>
                <c:pt idx="4">
                  <c:v>May</c:v>
                </c:pt>
                <c:pt idx="5">
                  <c:v>Jun</c:v>
                </c:pt>
                <c:pt idx="6">
                  <c:v>Jul</c:v>
                </c:pt>
              </c:strCache>
            </c:strRef>
          </c:cat>
          <c:val>
            <c:numRef>
              <c:f>Sheet2!$B$68:$B$75</c:f>
              <c:numCache>
                <c:formatCode>General</c:formatCode>
                <c:ptCount val="7"/>
                <c:pt idx="0">
                  <c:v>133850000</c:v>
                </c:pt>
                <c:pt idx="1">
                  <c:v>102800000</c:v>
                </c:pt>
                <c:pt idx="2">
                  <c:v>118250000</c:v>
                </c:pt>
                <c:pt idx="3">
                  <c:v>132950000</c:v>
                </c:pt>
                <c:pt idx="4">
                  <c:v>120400000</c:v>
                </c:pt>
                <c:pt idx="5">
                  <c:v>148750000</c:v>
                </c:pt>
                <c:pt idx="6">
                  <c:v>119100000</c:v>
                </c:pt>
              </c:numCache>
            </c:numRef>
          </c:val>
          <c:smooth val="0"/>
          <c:extLst>
            <c:ext xmlns:c16="http://schemas.microsoft.com/office/drawing/2014/chart" uri="{C3380CC4-5D6E-409C-BE32-E72D297353CC}">
              <c16:uniqueId val="{00000000-9980-4E2E-857E-60F3E9577B19}"/>
            </c:ext>
          </c:extLst>
        </c:ser>
        <c:dLbls>
          <c:showLegendKey val="0"/>
          <c:showVal val="0"/>
          <c:showCatName val="0"/>
          <c:showSerName val="0"/>
          <c:showPercent val="0"/>
          <c:showBubbleSize val="0"/>
        </c:dLbls>
        <c:smooth val="0"/>
        <c:axId val="473576191"/>
        <c:axId val="473576671"/>
      </c:lineChart>
      <c:catAx>
        <c:axId val="47357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73576671"/>
        <c:crosses val="autoZero"/>
        <c:auto val="1"/>
        <c:lblAlgn val="ctr"/>
        <c:lblOffset val="100"/>
        <c:noMultiLvlLbl val="0"/>
      </c:catAx>
      <c:valAx>
        <c:axId val="473576671"/>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7357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8575"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[H24. Belajar Dashboard pivot chart Raw - Copy.xlsx]Sheet2!PivotTable11</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Sheet2!$B$87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BAE-4AFC-9F5E-B2A225155E9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BAE-4AFC-9F5E-B2A225155E9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BAE-4AFC-9F5E-B2A225155E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Sheet2!$A$88:$A$91</c:f>
              <c:strCache>
                <c:ptCount val="3"/>
                <c:pt idx="0">
                  <c:v>anto</c:v>
                </c:pt>
                <c:pt idx="1">
                  <c:v>Rudi</c:v>
                </c:pt>
                <c:pt idx="2">
                  <c:v>Tono</c:v>
                </c:pt>
              </c:strCache>
            </c:strRef>
          </c:cat>
          <c:val>
            <c:numRef>
              <c:f>Sheet2!$B$88:$B$91</c:f>
              <c:numCache>
                <c:formatCode>General</c:formatCode>
                <c:ptCount val="3"/>
                <c:pt idx="0">
                  <c:v>636850000</c:v>
                </c:pt>
                <c:pt idx="1">
                  <c:v>164400000</c:v>
                </c:pt>
                <c:pt idx="2">
                  <c:v>74850000</c:v>
                </c:pt>
              </c:numCache>
            </c:numRef>
          </c:val>
          <c:extLst>
            <c:ext xmlns:c16="http://schemas.microsoft.com/office/drawing/2014/chart" uri="{C3380CC4-5D6E-409C-BE32-E72D297353CC}">
              <c16:uniqueId val="{00000006-2BAE-4AFC-9F5E-B2A225155E9B}"/>
            </c:ext>
          </c:extLst>
        </c:ser>
        <c:dLbls>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[H24. Belajar Dashboard pivot chart Raw - Copy.xlsx]Sheet2!PivotTable4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Sheet2!$B$13</c:f>
              <c:strCache>
                <c:ptCount val="1"/>
                <c:pt idx="0">
                  <c:v>Total</c:v>
                </c:pt>
              </c:strCache>
            </c:strRef>
          </c:tx>
          <c:spPr>
            <a:solidFill>
              <a:schemeClr val="accent1"/>
            </a:solidFill>
            <a:ln>
              <a:noFill/>
            </a:ln>
            <a:effectLst/>
          </c:spPr>
          <c:invertIfNegative val="0"/>
          <c:cat>
            <c:strRef>
              <c:f>Sheet2!$A$14:$A$17</c:f>
              <c:strCache>
                <c:ptCount val="3"/>
                <c:pt idx="0">
                  <c:v>Batu Kali</c:v>
                </c:pt>
                <c:pt idx="1">
                  <c:v>Kerikil</c:v>
                </c:pt>
                <c:pt idx="2">
                  <c:v>Pasir</c:v>
                </c:pt>
              </c:strCache>
            </c:strRef>
          </c:cat>
          <c:val>
            <c:numRef>
              <c:f>Sheet2!$B$14:$B$17</c:f>
              <c:numCache>
                <c:formatCode>General</c:formatCode>
                <c:ptCount val="3"/>
                <c:pt idx="0">
                  <c:v>4650</c:v>
                </c:pt>
                <c:pt idx="1">
                  <c:v>4390</c:v>
                </c:pt>
                <c:pt idx="2">
                  <c:v>4620</c:v>
                </c:pt>
              </c:numCache>
            </c:numRef>
          </c:val>
          <c:extLst>
            <c:ext xmlns:c16="http://schemas.microsoft.com/office/drawing/2014/chart" uri="{C3380CC4-5D6E-409C-BE32-E72D297353CC}">
              <c16:uniqueId val="{00000000-BBE4-4DC7-B20F-9C7C362A8C87}"/>
            </c:ext>
          </c:extLst>
        </c:ser>
        <c:dLbls>
          <c:showLegendKey val="0"/>
          <c:showVal val="0"/>
          <c:showCatName val="0"/>
          <c:showSerName val="0"/>
          <c:showPercent val="0"/>
          <c:showBubbleSize val="0"/>
        </c:dLbls>
        <c:gapWidth val="219"/>
        <c:overlap val="-27"/>
        <c:axId val="1641920879"/>
        <c:axId val="1641906959"/>
      </c:barChart>
      <c:catAx>
        <c:axId val="164192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906959"/>
        <c:crosses val="autoZero"/>
        <c:auto val="1"/>
        <c:lblAlgn val="ctr"/>
        <c:lblOffset val="100"/>
        <c:noMultiLvlLbl val="0"/>
      </c:catAx>
      <c:valAx>
        <c:axId val="1641906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92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[H24. Belajar Dashboard pivot chart Raw - Copy.xlsx]Sheet2!PivotTable5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Sheet2!$B$27</c:f>
              <c:strCache>
                <c:ptCount val="1"/>
                <c:pt idx="0">
                  <c:v>pembelian</c:v>
                </c:pt>
              </c:strCache>
            </c:strRef>
          </c:tx>
          <c:spPr>
            <a:solidFill>
              <a:schemeClr val="accent1"/>
            </a:solidFill>
            <a:ln>
              <a:noFill/>
            </a:ln>
            <a:effectLst/>
          </c:spPr>
          <c:invertIfNegative val="0"/>
          <c:cat>
            <c:strRef>
              <c:f>Sheet2!$A$28:$A$31</c:f>
              <c:strCache>
                <c:ptCount val="3"/>
                <c:pt idx="0">
                  <c:v>anto</c:v>
                </c:pt>
                <c:pt idx="1">
                  <c:v>Rudi</c:v>
                </c:pt>
                <c:pt idx="2">
                  <c:v>Tono</c:v>
                </c:pt>
              </c:strCache>
            </c:strRef>
          </c:cat>
          <c:val>
            <c:numRef>
              <c:f>Sheet2!$B$28:$B$31</c:f>
              <c:numCache>
                <c:formatCode>General</c:formatCode>
                <c:ptCount val="3"/>
                <c:pt idx="0">
                  <c:v>1404050000</c:v>
                </c:pt>
                <c:pt idx="1">
                  <c:v>406350000</c:v>
                </c:pt>
                <c:pt idx="2">
                  <c:v>251400000</c:v>
                </c:pt>
              </c:numCache>
            </c:numRef>
          </c:val>
          <c:extLst>
            <c:ext xmlns:c16="http://schemas.microsoft.com/office/drawing/2014/chart" uri="{C3380CC4-5D6E-409C-BE32-E72D297353CC}">
              <c16:uniqueId val="{00000000-7B55-4D72-992F-DCC8DC08BAF2}"/>
            </c:ext>
          </c:extLst>
        </c:ser>
        <c:ser>
          <c:idx val="1"/>
          <c:order val="1"/>
          <c:tx>
            <c:strRef>
              <c:f>Sheet2!$C$27</c:f>
              <c:strCache>
                <c:ptCount val="1"/>
                <c:pt idx="0">
                  <c:v>Penjualan</c:v>
                </c:pt>
              </c:strCache>
            </c:strRef>
          </c:tx>
          <c:spPr>
            <a:solidFill>
              <a:schemeClr val="accent2"/>
            </a:solidFill>
            <a:ln>
              <a:noFill/>
            </a:ln>
            <a:effectLst/>
          </c:spPr>
          <c:invertIfNegative val="0"/>
          <c:cat>
            <c:strRef>
              <c:f>Sheet2!$A$28:$A$31</c:f>
              <c:strCache>
                <c:ptCount val="3"/>
                <c:pt idx="0">
                  <c:v>anto</c:v>
                </c:pt>
                <c:pt idx="1">
                  <c:v>Rudi</c:v>
                </c:pt>
                <c:pt idx="2">
                  <c:v>Tono</c:v>
                </c:pt>
              </c:strCache>
            </c:strRef>
          </c:cat>
          <c:val>
            <c:numRef>
              <c:f>Sheet2!$C$28:$C$31</c:f>
              <c:numCache>
                <c:formatCode>General</c:formatCode>
                <c:ptCount val="3"/>
                <c:pt idx="0">
                  <c:v>2040900000</c:v>
                </c:pt>
                <c:pt idx="1">
                  <c:v>570750000</c:v>
                </c:pt>
                <c:pt idx="2">
                  <c:v>326250000</c:v>
                </c:pt>
              </c:numCache>
            </c:numRef>
          </c:val>
          <c:extLst>
            <c:ext xmlns:c16="http://schemas.microsoft.com/office/drawing/2014/chart" uri="{C3380CC4-5D6E-409C-BE32-E72D297353CC}">
              <c16:uniqueId val="{00000002-7B55-4D72-992F-DCC8DC08BAF2}"/>
            </c:ext>
          </c:extLst>
        </c:ser>
        <c:ser>
          <c:idx val="2"/>
          <c:order val="2"/>
          <c:tx>
            <c:strRef>
              <c:f>Sheet2!$D$27</c:f>
              <c:strCache>
                <c:ptCount val="1"/>
                <c:pt idx="0">
                  <c:v>Total Laba</c:v>
                </c:pt>
              </c:strCache>
            </c:strRef>
          </c:tx>
          <c:spPr>
            <a:solidFill>
              <a:schemeClr val="accent3"/>
            </a:solidFill>
            <a:ln>
              <a:noFill/>
            </a:ln>
            <a:effectLst/>
          </c:spPr>
          <c:invertIfNegative val="0"/>
          <c:cat>
            <c:strRef>
              <c:f>Sheet2!$A$28:$A$31</c:f>
              <c:strCache>
                <c:ptCount val="3"/>
                <c:pt idx="0">
                  <c:v>anto</c:v>
                </c:pt>
                <c:pt idx="1">
                  <c:v>Rudi</c:v>
                </c:pt>
                <c:pt idx="2">
                  <c:v>Tono</c:v>
                </c:pt>
              </c:strCache>
            </c:strRef>
          </c:cat>
          <c:val>
            <c:numRef>
              <c:f>Sheet2!$D$28:$D$31</c:f>
              <c:numCache>
                <c:formatCode>General</c:formatCode>
                <c:ptCount val="3"/>
                <c:pt idx="0">
                  <c:v>636850000</c:v>
                </c:pt>
                <c:pt idx="1">
                  <c:v>164400000</c:v>
                </c:pt>
                <c:pt idx="2">
                  <c:v>74850000</c:v>
                </c:pt>
              </c:numCache>
            </c:numRef>
          </c:val>
          <c:extLst>
            <c:ext xmlns:c16="http://schemas.microsoft.com/office/drawing/2014/chart" uri="{C3380CC4-5D6E-409C-BE32-E72D297353CC}">
              <c16:uniqueId val="{00000004-7B55-4D72-992F-DCC8DC08BAF2}"/>
            </c:ext>
          </c:extLst>
        </c:ser>
        <c:dLbls>
          <c:showLegendKey val="0"/>
          <c:showVal val="0"/>
          <c:showCatName val="0"/>
          <c:showSerName val="0"/>
          <c:showPercent val="0"/>
          <c:showBubbleSize val="0"/>
        </c:dLbls>
        <c:gapWidth val="219"/>
        <c:overlap val="-27"/>
        <c:axId val="1605091071"/>
        <c:axId val="1605091551"/>
      </c:barChart>
      <c:catAx>
        <c:axId val="160509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091551"/>
        <c:crosses val="autoZero"/>
        <c:auto val="1"/>
        <c:lblAlgn val="ctr"/>
        <c:lblOffset val="100"/>
        <c:noMultiLvlLbl val="0"/>
      </c:catAx>
      <c:valAx>
        <c:axId val="1605091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09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[H24. Belajar Dashboard pivot chart Raw - Copy.xlsx]Sheet2!PivotTable6</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Sheet2!$B$44</c:f>
              <c:strCache>
                <c:ptCount val="1"/>
                <c:pt idx="0">
                  <c:v>pembelian</c:v>
                </c:pt>
              </c:strCache>
            </c:strRef>
          </c:tx>
          <c:spPr>
            <a:solidFill>
              <a:schemeClr val="accent1"/>
            </a:solidFill>
            <a:ln>
              <a:noFill/>
            </a:ln>
            <a:effectLst/>
          </c:spPr>
          <c:invertIfNegative val="0"/>
          <c:cat>
            <c:strRef>
              <c:f>Sheet2!$A$45:$A$48</c:f>
              <c:strCache>
                <c:ptCount val="3"/>
                <c:pt idx="0">
                  <c:v>Batu Kali</c:v>
                </c:pt>
                <c:pt idx="1">
                  <c:v>Kerikil</c:v>
                </c:pt>
                <c:pt idx="2">
                  <c:v>Pasir</c:v>
                </c:pt>
              </c:strCache>
            </c:strRef>
          </c:cat>
          <c:val>
            <c:numRef>
              <c:f>Sheet2!$B$45:$B$48</c:f>
              <c:numCache>
                <c:formatCode>General</c:formatCode>
                <c:ptCount val="3"/>
                <c:pt idx="0">
                  <c:v>703950000</c:v>
                </c:pt>
                <c:pt idx="1">
                  <c:v>643450000</c:v>
                </c:pt>
                <c:pt idx="2">
                  <c:v>714400000</c:v>
                </c:pt>
              </c:numCache>
            </c:numRef>
          </c:val>
          <c:extLst>
            <c:ext xmlns:c16="http://schemas.microsoft.com/office/drawing/2014/chart" uri="{C3380CC4-5D6E-409C-BE32-E72D297353CC}">
              <c16:uniqueId val="{00000000-6A34-402E-81D5-A83EE39A64C1}"/>
            </c:ext>
          </c:extLst>
        </c:ser>
        <c:ser>
          <c:idx val="1"/>
          <c:order val="1"/>
          <c:tx>
            <c:strRef>
              <c:f>Sheet2!$C$44</c:f>
              <c:strCache>
                <c:ptCount val="1"/>
                <c:pt idx="0">
                  <c:v>Penjualan</c:v>
                </c:pt>
              </c:strCache>
            </c:strRef>
          </c:tx>
          <c:spPr>
            <a:solidFill>
              <a:schemeClr val="accent2"/>
            </a:solidFill>
            <a:ln>
              <a:noFill/>
            </a:ln>
            <a:effectLst/>
          </c:spPr>
          <c:invertIfNegative val="0"/>
          <c:cat>
            <c:strRef>
              <c:f>Sheet2!$A$45:$A$48</c:f>
              <c:strCache>
                <c:ptCount val="3"/>
                <c:pt idx="0">
                  <c:v>Batu Kali</c:v>
                </c:pt>
                <c:pt idx="1">
                  <c:v>Kerikil</c:v>
                </c:pt>
                <c:pt idx="2">
                  <c:v>Pasir</c:v>
                </c:pt>
              </c:strCache>
            </c:strRef>
          </c:cat>
          <c:val>
            <c:numRef>
              <c:f>Sheet2!$C$45:$C$48</c:f>
              <c:numCache>
                <c:formatCode>General</c:formatCode>
                <c:ptCount val="3"/>
                <c:pt idx="0">
                  <c:v>976500000</c:v>
                </c:pt>
                <c:pt idx="1">
                  <c:v>921900000</c:v>
                </c:pt>
                <c:pt idx="2">
                  <c:v>1039500000</c:v>
                </c:pt>
              </c:numCache>
            </c:numRef>
          </c:val>
          <c:extLst>
            <c:ext xmlns:c16="http://schemas.microsoft.com/office/drawing/2014/chart" uri="{C3380CC4-5D6E-409C-BE32-E72D297353CC}">
              <c16:uniqueId val="{00000001-6A34-402E-81D5-A83EE39A64C1}"/>
            </c:ext>
          </c:extLst>
        </c:ser>
        <c:ser>
          <c:idx val="2"/>
          <c:order val="2"/>
          <c:tx>
            <c:strRef>
              <c:f>Sheet2!$D$44</c:f>
              <c:strCache>
                <c:ptCount val="1"/>
                <c:pt idx="0">
                  <c:v>Total Laba</c:v>
                </c:pt>
              </c:strCache>
            </c:strRef>
          </c:tx>
          <c:spPr>
            <a:solidFill>
              <a:schemeClr val="accent3"/>
            </a:solidFill>
            <a:ln>
              <a:noFill/>
            </a:ln>
            <a:effectLst/>
          </c:spPr>
          <c:invertIfNegative val="0"/>
          <c:cat>
            <c:strRef>
              <c:f>Sheet2!$A$45:$A$48</c:f>
              <c:strCache>
                <c:ptCount val="3"/>
                <c:pt idx="0">
                  <c:v>Batu Kali</c:v>
                </c:pt>
                <c:pt idx="1">
                  <c:v>Kerikil</c:v>
                </c:pt>
                <c:pt idx="2">
                  <c:v>Pasir</c:v>
                </c:pt>
              </c:strCache>
            </c:strRef>
          </c:cat>
          <c:val>
            <c:numRef>
              <c:f>Sheet2!$D$45:$D$48</c:f>
              <c:numCache>
                <c:formatCode>General</c:formatCode>
                <c:ptCount val="3"/>
                <c:pt idx="0">
                  <c:v>272550000</c:v>
                </c:pt>
                <c:pt idx="1">
                  <c:v>278450000</c:v>
                </c:pt>
                <c:pt idx="2">
                  <c:v>325100000</c:v>
                </c:pt>
              </c:numCache>
            </c:numRef>
          </c:val>
          <c:extLst>
            <c:ext xmlns:c16="http://schemas.microsoft.com/office/drawing/2014/chart" uri="{C3380CC4-5D6E-409C-BE32-E72D297353CC}">
              <c16:uniqueId val="{00000002-6A34-402E-81D5-A83EE39A64C1}"/>
            </c:ext>
          </c:extLst>
        </c:ser>
        <c:dLbls>
          <c:showLegendKey val="0"/>
          <c:showVal val="0"/>
          <c:showCatName val="0"/>
          <c:showSerName val="0"/>
          <c:showPercent val="0"/>
          <c:showBubbleSize val="0"/>
        </c:dLbls>
        <c:gapWidth val="219"/>
        <c:overlap val="-27"/>
        <c:axId val="473561311"/>
        <c:axId val="473556511"/>
      </c:barChart>
      <c:catAx>
        <c:axId val="47356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56511"/>
        <c:crosses val="autoZero"/>
        <c:auto val="1"/>
        <c:lblAlgn val="ctr"/>
        <c:lblOffset val="100"/>
        <c:noMultiLvlLbl val="0"/>
      </c:catAx>
      <c:valAx>
        <c:axId val="47355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6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[H24. Belajar Dashboard pivot chart Raw - Copy.xlsx]Sheet2!PivotTable7</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Sheet2!$B$67</c:f>
              <c:strCache>
                <c:ptCount val="1"/>
                <c:pt idx="0">
                  <c:v>Total</c:v>
                </c:pt>
              </c:strCache>
            </c:strRef>
          </c:tx>
          <c:spPr>
            <a:ln w="28575" cap="rnd">
              <a:solidFill>
                <a:schemeClr val="accent1"/>
              </a:solidFill>
              <a:round/>
            </a:ln>
            <a:effectLst/>
          </c:spPr>
          <c:marker>
            <c:symbol val="none"/>
          </c:marker>
          <c:cat>
            <c:strRef>
              <c:f>Sheet2!$A$68:$A$75</c:f>
              <c:strCache>
                <c:ptCount val="7"/>
                <c:pt idx="0">
                  <c:v>Jan</c:v>
                </c:pt>
                <c:pt idx="1">
                  <c:v>Feb</c:v>
                </c:pt>
                <c:pt idx="2">
                  <c:v>Mar</c:v>
                </c:pt>
                <c:pt idx="3">
                  <c:v>Apr</c:v>
                </c:pt>
                <c:pt idx="4">
                  <c:v>May</c:v>
                </c:pt>
                <c:pt idx="5">
                  <c:v>Jun</c:v>
                </c:pt>
                <c:pt idx="6">
                  <c:v>Jul</c:v>
                </c:pt>
              </c:strCache>
            </c:strRef>
          </c:cat>
          <c:val>
            <c:numRef>
              <c:f>Sheet2!$B$68:$B$75</c:f>
              <c:numCache>
                <c:formatCode>General</c:formatCode>
                <c:ptCount val="7"/>
                <c:pt idx="0">
                  <c:v>133850000</c:v>
                </c:pt>
                <c:pt idx="1">
                  <c:v>102800000</c:v>
                </c:pt>
                <c:pt idx="2">
                  <c:v>118250000</c:v>
                </c:pt>
                <c:pt idx="3">
                  <c:v>132950000</c:v>
                </c:pt>
                <c:pt idx="4">
                  <c:v>120400000</c:v>
                </c:pt>
                <c:pt idx="5">
                  <c:v>148750000</c:v>
                </c:pt>
                <c:pt idx="6">
                  <c:v>119100000</c:v>
                </c:pt>
              </c:numCache>
            </c:numRef>
          </c:val>
          <c:smooth val="0"/>
          <c:extLst>
            <c:ext xmlns:c16="http://schemas.microsoft.com/office/drawing/2014/chart" uri="{C3380CC4-5D6E-409C-BE32-E72D297353CC}">
              <c16:uniqueId val="{00000000-6A23-4118-82C5-6485DF9D54D0}"/>
            </c:ext>
          </c:extLst>
        </c:ser>
        <c:dLbls>
          <c:showLegendKey val="0"/>
          <c:showVal val="0"/>
          <c:showCatName val="0"/>
          <c:showSerName val="0"/>
          <c:showPercent val="0"/>
          <c:showBubbleSize val="0"/>
        </c:dLbls>
        <c:smooth val="0"/>
        <c:axId val="473576191"/>
        <c:axId val="473576671"/>
      </c:lineChart>
      <c:catAx>
        <c:axId val="47357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76671"/>
        <c:crosses val="autoZero"/>
        <c:auto val="1"/>
        <c:lblAlgn val="ctr"/>
        <c:lblOffset val="100"/>
        <c:noMultiLvlLbl val="0"/>
      </c:catAx>
      <c:valAx>
        <c:axId val="47357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7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[H24. Belajar Dashboard pivot chart Raw - Copy.xlsx]Sheet2!PivotTable11</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Sheet2!$B$87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CE5-422B-AD21-70E585086C0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CE5-422B-AD21-70E585086C0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CE5-422B-AD21-70E585086C08}"/>
              </c:ext>
            </c:extLst>
          </c:dPt>
          <c:cat>
            <c:strRef>
              <c:f>Sheet2!$A$88:$A$91</c:f>
              <c:strCache>
                <c:ptCount val="3"/>
                <c:pt idx="0">
                  <c:v>anto</c:v>
                </c:pt>
                <c:pt idx="1">
                  <c:v>Rudi</c:v>
                </c:pt>
                <c:pt idx="2">
                  <c:v>Tono</c:v>
                </c:pt>
              </c:strCache>
            </c:strRef>
          </c:cat>
          <c:val>
            <c:numRef>
              <c:f>Sheet2!$B$88:$B$91</c:f>
              <c:numCache>
                <c:formatCode>General</c:formatCode>
                <c:ptCount val="3"/>
                <c:pt idx="0">
                  <c:v>636850000</c:v>
                </c:pt>
                <c:pt idx="1">
                  <c:v>164400000</c:v>
                </c:pt>
                <c:pt idx="2">
                  <c:v>74850000</c:v>
                </c:pt>
              </c:numCache>
            </c:numRef>
          </c:val>
          <c:extLst>
            <c:ext xmlns:c16="http://schemas.microsoft.com/office/drawing/2014/chart" uri="{C3380CC4-5D6E-409C-BE32-E72D297353CC}">
              <c16:uniqueId val="{00000000-EE53-4056-88E0-8C1591C4578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121345</xdr:colOff>
      <xdr:row>7</xdr:row>
      <xdr:rowOff>179146</xdr:rowOff>
    </xdr:from>
    <xdr:to>
      <xdr:col>12</xdr:col>
      <xdr:colOff>574109</xdr:colOff>
      <xdr:row>23</xdr:row>
      <xdr:rowOff>169622</xdr:rowOff>
    </xdr:to>
    <xdr:graphicFrame macro="">
      <xdr:nvGraphicFramePr>
        <xdr:cNvPr id="2" name="Chart 1">
          <a:extLst>
            <a:ext uri="{FF2B5EF4-FFF2-40B4-BE49-F238E27FC236}">
              <a16:creationId xmlns:a16="http://schemas.microsoft.com/office/drawing/2014/main" id="{C5F2CEC9-C56B-423E-90C6-1A322437F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160489</xdr:colOff>
      <xdr:row>25</xdr:row>
      <xdr:rowOff>13048</xdr:rowOff>
    </xdr:from>
    <xdr:to>
      <xdr:col>12</xdr:col>
      <xdr:colOff>574109</xdr:colOff>
      <xdr:row>40</xdr:row>
      <xdr:rowOff>182671</xdr:rowOff>
    </xdr:to>
    <xdr:graphicFrame macro="">
      <xdr:nvGraphicFramePr>
        <xdr:cNvPr id="3" name="Chart 2">
          <a:extLst>
            <a:ext uri="{FF2B5EF4-FFF2-40B4-BE49-F238E27FC236}">
              <a16:creationId xmlns:a16="http://schemas.microsoft.com/office/drawing/2014/main" id="{38740590-C019-49AF-9B0C-4CA23B4E4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860512</xdr:colOff>
      <xdr:row>25</xdr:row>
      <xdr:rowOff>26096</xdr:rowOff>
    </xdr:from>
    <xdr:to>
      <xdr:col>19</xdr:col>
      <xdr:colOff>65240</xdr:colOff>
      <xdr:row>41</xdr:row>
      <xdr:rowOff>26096</xdr:rowOff>
    </xdr:to>
    <xdr:graphicFrame macro="">
      <xdr:nvGraphicFramePr>
        <xdr:cNvPr id="4" name="Chart 3">
          <a:extLst>
            <a:ext uri="{FF2B5EF4-FFF2-40B4-BE49-F238E27FC236}">
              <a16:creationId xmlns:a16="http://schemas.microsoft.com/office/drawing/2014/main" id="{465418A6-F7FE-4622-968C-CB1BEBE96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850987</xdr:colOff>
      <xdr:row>8</xdr:row>
      <xdr:rowOff>6002</xdr:rowOff>
    </xdr:from>
    <xdr:to>
      <xdr:col>19</xdr:col>
      <xdr:colOff>65240</xdr:colOff>
      <xdr:row>23</xdr:row>
      <xdr:rowOff>173146</xdr:rowOff>
    </xdr:to>
    <xdr:graphicFrame macro="">
      <xdr:nvGraphicFramePr>
        <xdr:cNvPr id="5" name="Chart 4">
          <a:extLst>
            <a:ext uri="{FF2B5EF4-FFF2-40B4-BE49-F238E27FC236}">
              <a16:creationId xmlns:a16="http://schemas.microsoft.com/office/drawing/2014/main" id="{B1E9EF1E-3BF9-43FB-B875-D8A573300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22750</xdr:colOff>
      <xdr:row>7</xdr:row>
      <xdr:rowOff>175625</xdr:rowOff>
    </xdr:from>
    <xdr:to>
      <xdr:col>6</xdr:col>
      <xdr:colOff>389097</xdr:colOff>
      <xdr:row>15</xdr:row>
      <xdr:rowOff>18006</xdr:rowOff>
    </xdr:to>
    <mc:AlternateContent xmlns:mc="http://schemas.openxmlformats.org/markup-compatibility/2006" xmlns:tsle="http://schemas.microsoft.com/office/drawing/2012/timeslicer">
      <mc:Choice Requires="tsle">
        <xdr:graphicFrame macro="">
          <xdr:nvGraphicFramePr>
            <xdr:cNvPr id="6" name="Tanggal">
              <a:extLst>
                <a:ext uri="{FF2B5EF4-FFF2-40B4-BE49-F238E27FC236}">
                  <a16:creationId xmlns:a16="http://schemas.microsoft.com/office/drawing/2014/main" id="{6CB961E5-BF0D-F1B2-CB89-C12FDB371832}"/>
                </a:ext>
              </a:extLst>
            </xdr:cNvPr>
            <xdr:cNvGraphicFramePr/>
          </xdr:nvGraphicFramePr>
          <xdr:xfrm>
            <a:off x="0" y="0"/>
            <a:ext cx="0" cy="0"/>
          </xdr:xfrm>
          <a:graphic>
            <a:graphicData uri="http://schemas.microsoft.com/office/drawing/2012/timeslicer">
              <tsle:timeslicer name="Tanggal"/>
            </a:graphicData>
          </a:graphic>
        </xdr:graphicFrame>
      </mc:Choice>
      <mc:Fallback xmlns="">
        <xdr:sp macro="" textlink="">
          <xdr:nvSpPr>
            <xdr:cNvPr id="0" name=""/>
            <xdr:cNvSpPr>
              <a:spLocks noTextEdit="1"/>
            </xdr:cNvSpPr>
          </xdr:nvSpPr>
          <xdr:spPr>
            <a:xfrm>
              <a:off x="632350" y="2512425"/>
              <a:ext cx="4277947" cy="1366381"/>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1</xdr:col>
      <xdr:colOff>9702</xdr:colOff>
      <xdr:row>16</xdr:row>
      <xdr:rowOff>11481</xdr:rowOff>
    </xdr:from>
    <xdr:to>
      <xdr:col>2</xdr:col>
      <xdr:colOff>1418914</xdr:colOff>
      <xdr:row>22</xdr:row>
      <xdr:rowOff>170963</xdr:rowOff>
    </xdr:to>
    <mc:AlternateContent xmlns:mc="http://schemas.openxmlformats.org/markup-compatibility/2006" xmlns:a14="http://schemas.microsoft.com/office/drawing/2010/main">
      <mc:Choice Requires="a14">
        <xdr:graphicFrame macro="">
          <xdr:nvGraphicFramePr>
            <xdr:cNvPr id="7" name="Sales">
              <a:extLst>
                <a:ext uri="{FF2B5EF4-FFF2-40B4-BE49-F238E27FC236}">
                  <a16:creationId xmlns:a16="http://schemas.microsoft.com/office/drawing/2014/main" id="{FBFCE33E-441A-2B3C-C7C3-87DB4DE4EEBE}"/>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619302" y="4062781"/>
              <a:ext cx="2018812" cy="130248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192875</xdr:colOff>
      <xdr:row>16</xdr:row>
      <xdr:rowOff>10642</xdr:rowOff>
    </xdr:from>
    <xdr:to>
      <xdr:col>6</xdr:col>
      <xdr:colOff>424893</xdr:colOff>
      <xdr:row>22</xdr:row>
      <xdr:rowOff>170125</xdr:rowOff>
    </xdr:to>
    <mc:AlternateContent xmlns:mc="http://schemas.openxmlformats.org/markup-compatibility/2006" xmlns:a14="http://schemas.microsoft.com/office/drawing/2010/main">
      <mc:Choice Requires="a14">
        <xdr:graphicFrame macro="">
          <xdr:nvGraphicFramePr>
            <xdr:cNvPr id="8" name="Sumber Material">
              <a:extLst>
                <a:ext uri="{FF2B5EF4-FFF2-40B4-BE49-F238E27FC236}">
                  <a16:creationId xmlns:a16="http://schemas.microsoft.com/office/drawing/2014/main" id="{878AE820-F098-1F39-E67E-11AD28156DD2}"/>
                </a:ext>
              </a:extLst>
            </xdr:cNvPr>
            <xdr:cNvGraphicFramePr/>
          </xdr:nvGraphicFramePr>
          <xdr:xfrm>
            <a:off x="0" y="0"/>
            <a:ext cx="0" cy="0"/>
          </xdr:xfrm>
          <a:graphic>
            <a:graphicData uri="http://schemas.microsoft.com/office/drawing/2010/slicer">
              <sle:slicer xmlns:sle="http://schemas.microsoft.com/office/drawing/2010/slicer" name="Sumber Material"/>
            </a:graphicData>
          </a:graphic>
        </xdr:graphicFrame>
      </mc:Choice>
      <mc:Fallback xmlns="">
        <xdr:sp macro="" textlink="">
          <xdr:nvSpPr>
            <xdr:cNvPr id="0" name=""/>
            <xdr:cNvSpPr>
              <a:spLocks noTextEdit="1"/>
            </xdr:cNvSpPr>
          </xdr:nvSpPr>
          <xdr:spPr>
            <a:xfrm>
              <a:off x="2885275" y="4061942"/>
              <a:ext cx="2060818" cy="130248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22750</xdr:colOff>
      <xdr:row>23</xdr:row>
      <xdr:rowOff>192478</xdr:rowOff>
    </xdr:from>
    <xdr:to>
      <xdr:col>6</xdr:col>
      <xdr:colOff>425731</xdr:colOff>
      <xdr:row>30</xdr:row>
      <xdr:rowOff>95184</xdr:rowOff>
    </xdr:to>
    <mc:AlternateContent xmlns:mc="http://schemas.openxmlformats.org/markup-compatibility/2006" xmlns:a14="http://schemas.microsoft.com/office/drawing/2010/main">
      <mc:Choice Requires="a14">
        <xdr:graphicFrame macro="">
          <xdr:nvGraphicFramePr>
            <xdr:cNvPr id="9" name="Material">
              <a:extLst>
                <a:ext uri="{FF2B5EF4-FFF2-40B4-BE49-F238E27FC236}">
                  <a16:creationId xmlns:a16="http://schemas.microsoft.com/office/drawing/2014/main" id="{8AF60E38-7775-0953-82AF-4179708C045F}"/>
                </a:ext>
              </a:extLst>
            </xdr:cNvPr>
            <xdr:cNvGraphicFramePr/>
          </xdr:nvGraphicFramePr>
          <xdr:xfrm>
            <a:off x="0" y="0"/>
            <a:ext cx="0" cy="0"/>
          </xdr:xfrm>
          <a:graphic>
            <a:graphicData uri="http://schemas.microsoft.com/office/drawing/2010/slicer">
              <sle:slicer xmlns:sle="http://schemas.microsoft.com/office/drawing/2010/slicer" name="Material"/>
            </a:graphicData>
          </a:graphic>
        </xdr:graphicFrame>
      </mc:Choice>
      <mc:Fallback xmlns="">
        <xdr:sp macro="" textlink="">
          <xdr:nvSpPr>
            <xdr:cNvPr id="0" name=""/>
            <xdr:cNvSpPr>
              <a:spLocks noTextEdit="1"/>
            </xdr:cNvSpPr>
          </xdr:nvSpPr>
          <xdr:spPr>
            <a:xfrm>
              <a:off x="632350" y="5577278"/>
              <a:ext cx="4314581" cy="123620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13046</xdr:colOff>
      <xdr:row>31</xdr:row>
      <xdr:rowOff>0</xdr:rowOff>
    </xdr:from>
    <xdr:to>
      <xdr:col>6</xdr:col>
      <xdr:colOff>430582</xdr:colOff>
      <xdr:row>41</xdr:row>
      <xdr:rowOff>0</xdr:rowOff>
    </xdr:to>
    <xdr:graphicFrame macro="">
      <xdr:nvGraphicFramePr>
        <xdr:cNvPr id="10" name="Chart 9">
          <a:extLst>
            <a:ext uri="{FF2B5EF4-FFF2-40B4-BE49-F238E27FC236}">
              <a16:creationId xmlns:a16="http://schemas.microsoft.com/office/drawing/2014/main" id="{BCA06522-D2E9-4603-AEB9-75929FAAC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57150</xdr:colOff>
      <xdr:row>10</xdr:row>
      <xdr:rowOff>52387</xdr:rowOff>
    </xdr:from>
    <xdr:to>
      <xdr:col>14</xdr:col>
      <xdr:colOff>361950</xdr:colOff>
      <xdr:row>24</xdr:row>
      <xdr:rowOff>128587</xdr:rowOff>
    </xdr:to>
    <xdr:graphicFrame macro="">
      <xdr:nvGraphicFramePr>
        <xdr:cNvPr id="2" name="Chart 1">
          <a:extLst>
            <a:ext uri="{FF2B5EF4-FFF2-40B4-BE49-F238E27FC236}">
              <a16:creationId xmlns:a16="http://schemas.microsoft.com/office/drawing/2014/main" id="{1087ADEA-7165-5AE3-C0B6-B9DB5B7AA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9525</xdr:colOff>
      <xdr:row>27</xdr:row>
      <xdr:rowOff>4762</xdr:rowOff>
    </xdr:from>
    <xdr:to>
      <xdr:col>14</xdr:col>
      <xdr:colOff>314325</xdr:colOff>
      <xdr:row>41</xdr:row>
      <xdr:rowOff>80962</xdr:rowOff>
    </xdr:to>
    <xdr:graphicFrame macro="">
      <xdr:nvGraphicFramePr>
        <xdr:cNvPr id="3" name="Chart 2">
          <a:extLst>
            <a:ext uri="{FF2B5EF4-FFF2-40B4-BE49-F238E27FC236}">
              <a16:creationId xmlns:a16="http://schemas.microsoft.com/office/drawing/2014/main" id="{0AE69EB1-0305-AEC6-13FA-BB6CEF6CEB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576262</xdr:colOff>
      <xdr:row>43</xdr:row>
      <xdr:rowOff>4762</xdr:rowOff>
    </xdr:from>
    <xdr:to>
      <xdr:col>14</xdr:col>
      <xdr:colOff>271462</xdr:colOff>
      <xdr:row>57</xdr:row>
      <xdr:rowOff>80962</xdr:rowOff>
    </xdr:to>
    <xdr:graphicFrame macro="">
      <xdr:nvGraphicFramePr>
        <xdr:cNvPr id="4" name="Chart 3">
          <a:extLst>
            <a:ext uri="{FF2B5EF4-FFF2-40B4-BE49-F238E27FC236}">
              <a16:creationId xmlns:a16="http://schemas.microsoft.com/office/drawing/2014/main" id="{5CBB6C12-BAF2-58D1-F590-DA24FFDF54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23812</xdr:colOff>
      <xdr:row>65</xdr:row>
      <xdr:rowOff>157162</xdr:rowOff>
    </xdr:from>
    <xdr:to>
      <xdr:col>10</xdr:col>
      <xdr:colOff>271462</xdr:colOff>
      <xdr:row>80</xdr:row>
      <xdr:rowOff>42862</xdr:rowOff>
    </xdr:to>
    <xdr:graphicFrame macro="">
      <xdr:nvGraphicFramePr>
        <xdr:cNvPr id="5" name="Chart 4">
          <a:extLst>
            <a:ext uri="{FF2B5EF4-FFF2-40B4-BE49-F238E27FC236}">
              <a16:creationId xmlns:a16="http://schemas.microsoft.com/office/drawing/2014/main" id="{4DB3AE07-596D-BBB6-93DC-91D7BE5E5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709612</xdr:colOff>
      <xdr:row>83</xdr:row>
      <xdr:rowOff>185737</xdr:rowOff>
    </xdr:from>
    <xdr:to>
      <xdr:col>10</xdr:col>
      <xdr:colOff>223837</xdr:colOff>
      <xdr:row>98</xdr:row>
      <xdr:rowOff>71437</xdr:rowOff>
    </xdr:to>
    <xdr:graphicFrame macro="">
      <xdr:nvGraphicFramePr>
        <xdr:cNvPr id="7" name="Chart 6">
          <a:extLst>
            <a:ext uri="{FF2B5EF4-FFF2-40B4-BE49-F238E27FC236}">
              <a16:creationId xmlns:a16="http://schemas.microsoft.com/office/drawing/2014/main" id="{9B275488-B4D6-1840-111B-BDD726889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88.715895138892" createdVersion="8" refreshedVersion="8" minRefreshableVersion="3" recordCount="212" xr:uid="{F019C950-2B6E-4429-A0F2-8CF16BBEEF42}">
  <cacheSource type="worksheet">
    <worksheetSource name="Table1"/>
  </cacheSource>
  <cacheFields count="12">
    <cacheField name="Tanggal" numFmtId="14">
      <sharedItems containsSemiMixedTypes="0" containsNonDate="0" containsDate="1" containsString="0" minDate="2025-01-01T00:00:00" maxDate="2025-08-01T00:00:00" count="212">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sharedItems>
      <fieldGroup par="11"/>
    </cacheField>
    <cacheField name="Sales" numFmtId="0">
      <sharedItems count="3">
        <s v="anto"/>
        <s v="Tono"/>
        <s v="Rudi"/>
      </sharedItems>
    </cacheField>
    <cacheField name="Sumber Material" numFmtId="0">
      <sharedItems count="3">
        <s v="Gunung Merapi"/>
        <s v="Magelang"/>
        <s v="Temanggung"/>
      </sharedItems>
    </cacheField>
    <cacheField name="Material" numFmtId="0">
      <sharedItems count="3">
        <s v="Pasir"/>
        <s v="Batu Kali"/>
        <s v="Kerikil"/>
      </sharedItems>
    </cacheField>
    <cacheField name="Volume" numFmtId="164">
      <sharedItems containsSemiMixedTypes="0" containsString="0" containsNumber="1" containsInteger="1" minValue="40" maxValue="90"/>
    </cacheField>
    <cacheField name="Harga satuan pembelian" numFmtId="164">
      <sharedItems containsSemiMixedTypes="0" containsString="0" containsNumber="1" containsInteger="1" minValue="85000" maxValue="215000"/>
    </cacheField>
    <cacheField name="Total pembelian" numFmtId="164">
      <sharedItems containsSemiMixedTypes="0" containsString="0" containsNumber="1" containsInteger="1" minValue="3800000" maxValue="19350000"/>
    </cacheField>
    <cacheField name="Harga satuan penjualan" numFmtId="164">
      <sharedItems containsSemiMixedTypes="0" containsString="0" containsNumber="1" containsInteger="1" minValue="210000" maxValue="225000"/>
    </cacheField>
    <cacheField name="Total Penjualan" numFmtId="164">
      <sharedItems containsSemiMixedTypes="0" containsString="0" containsNumber="1" containsInteger="1" minValue="8400000" maxValue="20250000"/>
    </cacheField>
    <cacheField name="Laba" numFmtId="164">
      <sharedItems containsSemiMixedTypes="0" containsString="0" containsNumber="1" containsInteger="1" minValue="-450000" maxValue="10800000"/>
    </cacheField>
    <cacheField name="Days (Tanggal)" numFmtId="0" databaseField="0">
      <fieldGroup base="0">
        <rangePr groupBy="days" startDate="2025-01-01T00:00:00" endDate="2025-08-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8/2025"/>
        </groupItems>
      </fieldGroup>
    </cacheField>
    <cacheField name="Months (Tanggal)" numFmtId="0" databaseField="0">
      <fieldGroup base="0">
        <rangePr groupBy="months" startDate="2025-01-01T00:00:00" endDate="2025-08-01T00:00:00"/>
        <groupItems count="14">
          <s v="&lt;01/01/2025"/>
          <s v="Jan"/>
          <s v="Feb"/>
          <s v="Mar"/>
          <s v="Apr"/>
          <s v="May"/>
          <s v="Jun"/>
          <s v="Jul"/>
          <s v="Aug"/>
          <s v="Sep"/>
          <s v="Oct"/>
          <s v="Nov"/>
          <s v="Dec"/>
          <s v="&gt;01/08/2025"/>
        </groupItems>
      </fieldGroup>
    </cacheField>
  </cacheFields>
  <extLst>
    <ext xmlns:x14="http://schemas.microsoft.com/office/spreadsheetml/2009/9/main" uri="{725AE2AE-9491-48be-B2B4-4EB974FC3084}">
      <x14:pivotCacheDefinition pivotCacheId="11077459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
  <r>
    <x v="0"/>
    <x v="0"/>
    <x v="0"/>
    <x v="0"/>
    <n v="80"/>
    <n v="195000"/>
    <n v="15600000"/>
    <n v="225000"/>
    <n v="18000000"/>
    <n v="2400000"/>
  </r>
  <r>
    <x v="1"/>
    <x v="0"/>
    <x v="0"/>
    <x v="1"/>
    <n v="50"/>
    <n v="115000"/>
    <n v="5750000"/>
    <n v="210000"/>
    <n v="10500000"/>
    <n v="4750000"/>
  </r>
  <r>
    <x v="2"/>
    <x v="0"/>
    <x v="0"/>
    <x v="2"/>
    <n v="60"/>
    <n v="135000"/>
    <n v="8100000"/>
    <n v="210000"/>
    <n v="12600000"/>
    <n v="4500000"/>
  </r>
  <r>
    <x v="3"/>
    <x v="0"/>
    <x v="0"/>
    <x v="0"/>
    <n v="50"/>
    <n v="145000"/>
    <n v="7250000"/>
    <n v="225000"/>
    <n v="11250000"/>
    <n v="4000000"/>
  </r>
  <r>
    <x v="4"/>
    <x v="0"/>
    <x v="0"/>
    <x v="1"/>
    <n v="80"/>
    <n v="155000"/>
    <n v="12400000"/>
    <n v="210000"/>
    <n v="16800000"/>
    <n v="4400000"/>
  </r>
  <r>
    <x v="5"/>
    <x v="0"/>
    <x v="0"/>
    <x v="2"/>
    <n v="80"/>
    <n v="85000"/>
    <n v="6800000"/>
    <n v="210000"/>
    <n v="16800000"/>
    <n v="10000000"/>
  </r>
  <r>
    <x v="6"/>
    <x v="0"/>
    <x v="0"/>
    <x v="0"/>
    <n v="60"/>
    <n v="165000"/>
    <n v="9900000"/>
    <n v="225000"/>
    <n v="13500000"/>
    <n v="3600000"/>
  </r>
  <r>
    <x v="7"/>
    <x v="1"/>
    <x v="0"/>
    <x v="1"/>
    <n v="40"/>
    <n v="145000"/>
    <n v="5800000"/>
    <n v="210000"/>
    <n v="8400000"/>
    <n v="2600000"/>
  </r>
  <r>
    <x v="8"/>
    <x v="2"/>
    <x v="0"/>
    <x v="2"/>
    <n v="40"/>
    <n v="115000"/>
    <n v="4600000"/>
    <n v="210000"/>
    <n v="8400000"/>
    <n v="3800000"/>
  </r>
  <r>
    <x v="9"/>
    <x v="2"/>
    <x v="0"/>
    <x v="0"/>
    <n v="80"/>
    <n v="95000"/>
    <n v="7600000"/>
    <n v="225000"/>
    <n v="18000000"/>
    <n v="10400000"/>
  </r>
  <r>
    <x v="10"/>
    <x v="0"/>
    <x v="0"/>
    <x v="1"/>
    <n v="80"/>
    <n v="95000"/>
    <n v="7600000"/>
    <n v="210000"/>
    <n v="16800000"/>
    <n v="9200000"/>
  </r>
  <r>
    <x v="11"/>
    <x v="0"/>
    <x v="0"/>
    <x v="2"/>
    <n v="70"/>
    <n v="125000"/>
    <n v="8750000"/>
    <n v="210000"/>
    <n v="14700000"/>
    <n v="5950000"/>
  </r>
  <r>
    <x v="12"/>
    <x v="0"/>
    <x v="1"/>
    <x v="0"/>
    <n v="50"/>
    <n v="185000"/>
    <n v="9250000"/>
    <n v="225000"/>
    <n v="11250000"/>
    <n v="2000000"/>
  </r>
  <r>
    <x v="13"/>
    <x v="0"/>
    <x v="1"/>
    <x v="1"/>
    <n v="50"/>
    <n v="155000"/>
    <n v="7750000"/>
    <n v="210000"/>
    <n v="10500000"/>
    <n v="2750000"/>
  </r>
  <r>
    <x v="14"/>
    <x v="0"/>
    <x v="1"/>
    <x v="2"/>
    <n v="80"/>
    <n v="105000"/>
    <n v="8400000"/>
    <n v="210000"/>
    <n v="16800000"/>
    <n v="8400000"/>
  </r>
  <r>
    <x v="15"/>
    <x v="0"/>
    <x v="1"/>
    <x v="0"/>
    <n v="50"/>
    <n v="195000"/>
    <n v="9750000"/>
    <n v="225000"/>
    <n v="11250000"/>
    <n v="1500000"/>
  </r>
  <r>
    <x v="16"/>
    <x v="0"/>
    <x v="2"/>
    <x v="1"/>
    <n v="60"/>
    <n v="125000"/>
    <n v="7500000"/>
    <n v="210000"/>
    <n v="12600000"/>
    <n v="5100000"/>
  </r>
  <r>
    <x v="17"/>
    <x v="1"/>
    <x v="2"/>
    <x v="2"/>
    <n v="80"/>
    <n v="185000"/>
    <n v="14800000"/>
    <n v="210000"/>
    <n v="16800000"/>
    <n v="2000000"/>
  </r>
  <r>
    <x v="18"/>
    <x v="2"/>
    <x v="2"/>
    <x v="0"/>
    <n v="60"/>
    <n v="205000"/>
    <n v="12300000"/>
    <n v="225000"/>
    <n v="13500000"/>
    <n v="1200000"/>
  </r>
  <r>
    <x v="19"/>
    <x v="2"/>
    <x v="2"/>
    <x v="1"/>
    <n v="70"/>
    <n v="115000"/>
    <n v="8050000"/>
    <n v="210000"/>
    <n v="14700000"/>
    <n v="6650000"/>
  </r>
  <r>
    <x v="20"/>
    <x v="1"/>
    <x v="1"/>
    <x v="2"/>
    <n v="50"/>
    <n v="185000"/>
    <n v="9250000"/>
    <n v="210000"/>
    <n v="10500000"/>
    <n v="1250000"/>
  </r>
  <r>
    <x v="21"/>
    <x v="1"/>
    <x v="1"/>
    <x v="0"/>
    <n v="50"/>
    <n v="145000"/>
    <n v="7250000"/>
    <n v="225000"/>
    <n v="11250000"/>
    <n v="4000000"/>
  </r>
  <r>
    <x v="22"/>
    <x v="0"/>
    <x v="1"/>
    <x v="1"/>
    <n v="70"/>
    <n v="125000"/>
    <n v="8750000"/>
    <n v="210000"/>
    <n v="14700000"/>
    <n v="5950000"/>
  </r>
  <r>
    <x v="23"/>
    <x v="0"/>
    <x v="1"/>
    <x v="2"/>
    <n v="60"/>
    <n v="85000"/>
    <n v="5100000"/>
    <n v="210000"/>
    <n v="12600000"/>
    <n v="7500000"/>
  </r>
  <r>
    <x v="24"/>
    <x v="0"/>
    <x v="1"/>
    <x v="0"/>
    <n v="90"/>
    <n v="185000"/>
    <n v="16650000"/>
    <n v="225000"/>
    <n v="20250000"/>
    <n v="3600000"/>
  </r>
  <r>
    <x v="25"/>
    <x v="0"/>
    <x v="1"/>
    <x v="1"/>
    <n v="50"/>
    <n v="145000"/>
    <n v="7250000"/>
    <n v="210000"/>
    <n v="10500000"/>
    <n v="3250000"/>
  </r>
  <r>
    <x v="26"/>
    <x v="0"/>
    <x v="1"/>
    <x v="2"/>
    <n v="70"/>
    <n v="155000"/>
    <n v="10850000"/>
    <n v="210000"/>
    <n v="14700000"/>
    <n v="3850000"/>
  </r>
  <r>
    <x v="27"/>
    <x v="0"/>
    <x v="1"/>
    <x v="0"/>
    <n v="50"/>
    <n v="175000"/>
    <n v="8750000"/>
    <n v="225000"/>
    <n v="11250000"/>
    <n v="2500000"/>
  </r>
  <r>
    <x v="28"/>
    <x v="0"/>
    <x v="1"/>
    <x v="1"/>
    <n v="70"/>
    <n v="195000"/>
    <n v="13650000"/>
    <n v="210000"/>
    <n v="14700000"/>
    <n v="1050000"/>
  </r>
  <r>
    <x v="29"/>
    <x v="1"/>
    <x v="1"/>
    <x v="2"/>
    <n v="60"/>
    <n v="185000"/>
    <n v="11100000"/>
    <n v="210000"/>
    <n v="12600000"/>
    <n v="1500000"/>
  </r>
  <r>
    <x v="30"/>
    <x v="2"/>
    <x v="1"/>
    <x v="0"/>
    <n v="70"/>
    <n v="165000"/>
    <n v="11550000"/>
    <n v="225000"/>
    <n v="15750000"/>
    <n v="4200000"/>
  </r>
  <r>
    <x v="31"/>
    <x v="2"/>
    <x v="1"/>
    <x v="1"/>
    <n v="50"/>
    <n v="185000"/>
    <n v="9250000"/>
    <n v="210000"/>
    <n v="10500000"/>
    <n v="1250000"/>
  </r>
  <r>
    <x v="32"/>
    <x v="0"/>
    <x v="0"/>
    <x v="2"/>
    <n v="40"/>
    <n v="95000"/>
    <n v="3800000"/>
    <n v="210000"/>
    <n v="8400000"/>
    <n v="4600000"/>
  </r>
  <r>
    <x v="33"/>
    <x v="0"/>
    <x v="0"/>
    <x v="0"/>
    <n v="60"/>
    <n v="115000"/>
    <n v="6900000"/>
    <n v="225000"/>
    <n v="13500000"/>
    <n v="6600000"/>
  </r>
  <r>
    <x v="34"/>
    <x v="0"/>
    <x v="0"/>
    <x v="1"/>
    <n v="50"/>
    <n v="135000"/>
    <n v="6750000"/>
    <n v="210000"/>
    <n v="10500000"/>
    <n v="3750000"/>
  </r>
  <r>
    <x v="35"/>
    <x v="0"/>
    <x v="0"/>
    <x v="2"/>
    <n v="70"/>
    <n v="205000"/>
    <n v="14350000"/>
    <n v="210000"/>
    <n v="14700000"/>
    <n v="350000"/>
  </r>
  <r>
    <x v="36"/>
    <x v="0"/>
    <x v="0"/>
    <x v="0"/>
    <n v="40"/>
    <n v="155000"/>
    <n v="6200000"/>
    <n v="225000"/>
    <n v="9000000"/>
    <n v="2800000"/>
  </r>
  <r>
    <x v="37"/>
    <x v="0"/>
    <x v="0"/>
    <x v="1"/>
    <n v="80"/>
    <n v="175000"/>
    <n v="14000000"/>
    <n v="210000"/>
    <n v="16800000"/>
    <n v="2800000"/>
  </r>
  <r>
    <x v="38"/>
    <x v="0"/>
    <x v="0"/>
    <x v="2"/>
    <n v="50"/>
    <n v="145000"/>
    <n v="7250000"/>
    <n v="210000"/>
    <n v="10500000"/>
    <n v="3250000"/>
  </r>
  <r>
    <x v="39"/>
    <x v="1"/>
    <x v="0"/>
    <x v="0"/>
    <n v="90"/>
    <n v="205000"/>
    <n v="18450000"/>
    <n v="225000"/>
    <n v="20250000"/>
    <n v="1800000"/>
  </r>
  <r>
    <x v="40"/>
    <x v="2"/>
    <x v="0"/>
    <x v="1"/>
    <n v="90"/>
    <n v="215000"/>
    <n v="19350000"/>
    <n v="210000"/>
    <n v="18900000"/>
    <n v="-450000"/>
  </r>
  <r>
    <x v="41"/>
    <x v="2"/>
    <x v="0"/>
    <x v="2"/>
    <n v="60"/>
    <n v="185000"/>
    <n v="11100000"/>
    <n v="210000"/>
    <n v="12600000"/>
    <n v="1500000"/>
  </r>
  <r>
    <x v="42"/>
    <x v="0"/>
    <x v="0"/>
    <x v="0"/>
    <n v="70"/>
    <n v="115000"/>
    <n v="8050000"/>
    <n v="225000"/>
    <n v="15750000"/>
    <n v="7700000"/>
  </r>
  <r>
    <x v="43"/>
    <x v="0"/>
    <x v="0"/>
    <x v="1"/>
    <n v="80"/>
    <n v="115000"/>
    <n v="9200000"/>
    <n v="210000"/>
    <n v="16800000"/>
    <n v="7600000"/>
  </r>
  <r>
    <x v="44"/>
    <x v="0"/>
    <x v="1"/>
    <x v="2"/>
    <n v="40"/>
    <n v="105000"/>
    <n v="4200000"/>
    <n v="210000"/>
    <n v="8400000"/>
    <n v="4200000"/>
  </r>
  <r>
    <x v="45"/>
    <x v="0"/>
    <x v="1"/>
    <x v="0"/>
    <n v="80"/>
    <n v="135000"/>
    <n v="10800000"/>
    <n v="225000"/>
    <n v="18000000"/>
    <n v="7200000"/>
  </r>
  <r>
    <x v="46"/>
    <x v="0"/>
    <x v="1"/>
    <x v="1"/>
    <n v="60"/>
    <n v="205000"/>
    <n v="12300000"/>
    <n v="210000"/>
    <n v="12600000"/>
    <n v="300000"/>
  </r>
  <r>
    <x v="47"/>
    <x v="0"/>
    <x v="1"/>
    <x v="2"/>
    <n v="70"/>
    <n v="115000"/>
    <n v="8050000"/>
    <n v="210000"/>
    <n v="14700000"/>
    <n v="6650000"/>
  </r>
  <r>
    <x v="48"/>
    <x v="0"/>
    <x v="2"/>
    <x v="0"/>
    <n v="50"/>
    <n v="165000"/>
    <n v="8250000"/>
    <n v="225000"/>
    <n v="11250000"/>
    <n v="3000000"/>
  </r>
  <r>
    <x v="49"/>
    <x v="1"/>
    <x v="2"/>
    <x v="1"/>
    <n v="70"/>
    <n v="115000"/>
    <n v="8050000"/>
    <n v="210000"/>
    <n v="14700000"/>
    <n v="6650000"/>
  </r>
  <r>
    <x v="50"/>
    <x v="2"/>
    <x v="2"/>
    <x v="2"/>
    <n v="60"/>
    <n v="165000"/>
    <n v="9900000"/>
    <n v="210000"/>
    <n v="12600000"/>
    <n v="2700000"/>
  </r>
  <r>
    <x v="51"/>
    <x v="2"/>
    <x v="2"/>
    <x v="0"/>
    <n v="50"/>
    <n v="95000"/>
    <n v="4750000"/>
    <n v="225000"/>
    <n v="11250000"/>
    <n v="6500000"/>
  </r>
  <r>
    <x v="52"/>
    <x v="0"/>
    <x v="0"/>
    <x v="1"/>
    <n v="40"/>
    <n v="205000"/>
    <n v="8200000"/>
    <n v="210000"/>
    <n v="8400000"/>
    <n v="200000"/>
  </r>
  <r>
    <x v="53"/>
    <x v="0"/>
    <x v="0"/>
    <x v="2"/>
    <n v="90"/>
    <n v="145000"/>
    <n v="13050000"/>
    <n v="210000"/>
    <n v="18900000"/>
    <n v="5850000"/>
  </r>
  <r>
    <x v="54"/>
    <x v="0"/>
    <x v="0"/>
    <x v="0"/>
    <n v="50"/>
    <n v="175000"/>
    <n v="8750000"/>
    <n v="225000"/>
    <n v="11250000"/>
    <n v="2500000"/>
  </r>
  <r>
    <x v="55"/>
    <x v="0"/>
    <x v="0"/>
    <x v="1"/>
    <n v="40"/>
    <n v="175000"/>
    <n v="7000000"/>
    <n v="210000"/>
    <n v="8400000"/>
    <n v="1400000"/>
  </r>
  <r>
    <x v="56"/>
    <x v="0"/>
    <x v="0"/>
    <x v="2"/>
    <n v="40"/>
    <n v="115000"/>
    <n v="4600000"/>
    <n v="210000"/>
    <n v="8400000"/>
    <n v="3800000"/>
  </r>
  <r>
    <x v="57"/>
    <x v="0"/>
    <x v="0"/>
    <x v="0"/>
    <n v="80"/>
    <n v="155000"/>
    <n v="12400000"/>
    <n v="225000"/>
    <n v="18000000"/>
    <n v="5600000"/>
  </r>
  <r>
    <x v="58"/>
    <x v="0"/>
    <x v="0"/>
    <x v="1"/>
    <n v="60"/>
    <n v="165000"/>
    <n v="9900000"/>
    <n v="210000"/>
    <n v="12600000"/>
    <n v="2700000"/>
  </r>
  <r>
    <x v="59"/>
    <x v="1"/>
    <x v="0"/>
    <x v="2"/>
    <n v="70"/>
    <n v="165000"/>
    <n v="11550000"/>
    <n v="210000"/>
    <n v="14700000"/>
    <n v="3150000"/>
  </r>
  <r>
    <x v="60"/>
    <x v="2"/>
    <x v="0"/>
    <x v="0"/>
    <n v="50"/>
    <n v="195000"/>
    <n v="9750000"/>
    <n v="225000"/>
    <n v="11250000"/>
    <n v="1500000"/>
  </r>
  <r>
    <x v="61"/>
    <x v="2"/>
    <x v="0"/>
    <x v="1"/>
    <n v="70"/>
    <n v="135000"/>
    <n v="9450000"/>
    <n v="210000"/>
    <n v="14700000"/>
    <n v="5250000"/>
  </r>
  <r>
    <x v="62"/>
    <x v="0"/>
    <x v="0"/>
    <x v="2"/>
    <n v="50"/>
    <n v="135000"/>
    <n v="6750000"/>
    <n v="210000"/>
    <n v="10500000"/>
    <n v="3750000"/>
  </r>
  <r>
    <x v="63"/>
    <x v="0"/>
    <x v="0"/>
    <x v="0"/>
    <n v="60"/>
    <n v="115000"/>
    <n v="6900000"/>
    <n v="225000"/>
    <n v="13500000"/>
    <n v="6600000"/>
  </r>
  <r>
    <x v="64"/>
    <x v="0"/>
    <x v="1"/>
    <x v="1"/>
    <n v="80"/>
    <n v="125000"/>
    <n v="10000000"/>
    <n v="210000"/>
    <n v="16800000"/>
    <n v="6800000"/>
  </r>
  <r>
    <x v="65"/>
    <x v="0"/>
    <x v="1"/>
    <x v="2"/>
    <n v="40"/>
    <n v="115000"/>
    <n v="4600000"/>
    <n v="210000"/>
    <n v="8400000"/>
    <n v="3800000"/>
  </r>
  <r>
    <x v="66"/>
    <x v="0"/>
    <x v="1"/>
    <x v="0"/>
    <n v="70"/>
    <n v="205000"/>
    <n v="14350000"/>
    <n v="225000"/>
    <n v="15750000"/>
    <n v="1400000"/>
  </r>
  <r>
    <x v="67"/>
    <x v="0"/>
    <x v="1"/>
    <x v="1"/>
    <n v="90"/>
    <n v="195000"/>
    <n v="17550000"/>
    <n v="210000"/>
    <n v="18900000"/>
    <n v="1350000"/>
  </r>
  <r>
    <x v="68"/>
    <x v="0"/>
    <x v="2"/>
    <x v="2"/>
    <n v="60"/>
    <n v="205000"/>
    <n v="12300000"/>
    <n v="210000"/>
    <n v="12600000"/>
    <n v="300000"/>
  </r>
  <r>
    <x v="69"/>
    <x v="1"/>
    <x v="2"/>
    <x v="0"/>
    <n v="70"/>
    <n v="215000"/>
    <n v="15050000"/>
    <n v="225000"/>
    <n v="15750000"/>
    <n v="700000"/>
  </r>
  <r>
    <x v="70"/>
    <x v="2"/>
    <x v="2"/>
    <x v="1"/>
    <n v="80"/>
    <n v="105000"/>
    <n v="8400000"/>
    <n v="210000"/>
    <n v="16800000"/>
    <n v="8400000"/>
  </r>
  <r>
    <x v="71"/>
    <x v="2"/>
    <x v="2"/>
    <x v="2"/>
    <n v="40"/>
    <n v="165000"/>
    <n v="6600000"/>
    <n v="210000"/>
    <n v="8400000"/>
    <n v="1800000"/>
  </r>
  <r>
    <x v="72"/>
    <x v="0"/>
    <x v="0"/>
    <x v="0"/>
    <n v="50"/>
    <n v="155000"/>
    <n v="7750000"/>
    <n v="225000"/>
    <n v="11250000"/>
    <n v="3500000"/>
  </r>
  <r>
    <x v="73"/>
    <x v="0"/>
    <x v="0"/>
    <x v="1"/>
    <n v="70"/>
    <n v="135000"/>
    <n v="9450000"/>
    <n v="210000"/>
    <n v="14700000"/>
    <n v="5250000"/>
  </r>
  <r>
    <x v="74"/>
    <x v="0"/>
    <x v="0"/>
    <x v="2"/>
    <n v="60"/>
    <n v="105000"/>
    <n v="6300000"/>
    <n v="210000"/>
    <n v="12600000"/>
    <n v="6300000"/>
  </r>
  <r>
    <x v="75"/>
    <x v="0"/>
    <x v="0"/>
    <x v="0"/>
    <n v="70"/>
    <n v="125000"/>
    <n v="8750000"/>
    <n v="225000"/>
    <n v="15750000"/>
    <n v="7000000"/>
  </r>
  <r>
    <x v="76"/>
    <x v="0"/>
    <x v="0"/>
    <x v="1"/>
    <n v="60"/>
    <n v="205000"/>
    <n v="12300000"/>
    <n v="210000"/>
    <n v="12600000"/>
    <n v="300000"/>
  </r>
  <r>
    <x v="77"/>
    <x v="0"/>
    <x v="0"/>
    <x v="2"/>
    <n v="70"/>
    <n v="105000"/>
    <n v="7350000"/>
    <n v="210000"/>
    <n v="14700000"/>
    <n v="7350000"/>
  </r>
  <r>
    <x v="78"/>
    <x v="0"/>
    <x v="0"/>
    <x v="0"/>
    <n v="70"/>
    <n v="145000"/>
    <n v="10150000"/>
    <n v="225000"/>
    <n v="15750000"/>
    <n v="5600000"/>
  </r>
  <r>
    <x v="79"/>
    <x v="1"/>
    <x v="0"/>
    <x v="1"/>
    <n v="70"/>
    <n v="135000"/>
    <n v="9450000"/>
    <n v="210000"/>
    <n v="14700000"/>
    <n v="5250000"/>
  </r>
  <r>
    <x v="80"/>
    <x v="2"/>
    <x v="0"/>
    <x v="2"/>
    <n v="80"/>
    <n v="195000"/>
    <n v="15600000"/>
    <n v="210000"/>
    <n v="16800000"/>
    <n v="1200000"/>
  </r>
  <r>
    <x v="81"/>
    <x v="2"/>
    <x v="0"/>
    <x v="0"/>
    <n v="50"/>
    <n v="125000"/>
    <n v="6250000"/>
    <n v="225000"/>
    <n v="11250000"/>
    <n v="5000000"/>
  </r>
  <r>
    <x v="82"/>
    <x v="0"/>
    <x v="0"/>
    <x v="1"/>
    <n v="70"/>
    <n v="155000"/>
    <n v="10850000"/>
    <n v="210000"/>
    <n v="14700000"/>
    <n v="3850000"/>
  </r>
  <r>
    <x v="83"/>
    <x v="0"/>
    <x v="0"/>
    <x v="2"/>
    <n v="50"/>
    <n v="105000"/>
    <n v="5250000"/>
    <n v="210000"/>
    <n v="10500000"/>
    <n v="5250000"/>
  </r>
  <r>
    <x v="84"/>
    <x v="0"/>
    <x v="1"/>
    <x v="0"/>
    <n v="50"/>
    <n v="195000"/>
    <n v="9750000"/>
    <n v="225000"/>
    <n v="11250000"/>
    <n v="1500000"/>
  </r>
  <r>
    <x v="85"/>
    <x v="0"/>
    <x v="1"/>
    <x v="1"/>
    <n v="40"/>
    <n v="125000"/>
    <n v="5000000"/>
    <n v="210000"/>
    <n v="8400000"/>
    <n v="3400000"/>
  </r>
  <r>
    <x v="86"/>
    <x v="0"/>
    <x v="1"/>
    <x v="2"/>
    <n v="50"/>
    <n v="205000"/>
    <n v="10250000"/>
    <n v="210000"/>
    <n v="10500000"/>
    <n v="250000"/>
  </r>
  <r>
    <x v="87"/>
    <x v="0"/>
    <x v="1"/>
    <x v="0"/>
    <n v="60"/>
    <n v="105000"/>
    <n v="6300000"/>
    <n v="225000"/>
    <n v="13500000"/>
    <n v="7200000"/>
  </r>
  <r>
    <x v="88"/>
    <x v="0"/>
    <x v="2"/>
    <x v="1"/>
    <n v="70"/>
    <n v="195000"/>
    <n v="13650000"/>
    <n v="210000"/>
    <n v="14700000"/>
    <n v="1050000"/>
  </r>
  <r>
    <x v="89"/>
    <x v="1"/>
    <x v="2"/>
    <x v="2"/>
    <n v="40"/>
    <n v="105000"/>
    <n v="4200000"/>
    <n v="210000"/>
    <n v="8400000"/>
    <n v="4200000"/>
  </r>
  <r>
    <x v="90"/>
    <x v="2"/>
    <x v="2"/>
    <x v="0"/>
    <n v="80"/>
    <n v="95000"/>
    <n v="7600000"/>
    <n v="225000"/>
    <n v="18000000"/>
    <n v="10400000"/>
  </r>
  <r>
    <x v="91"/>
    <x v="2"/>
    <x v="2"/>
    <x v="1"/>
    <n v="80"/>
    <n v="195000"/>
    <n v="15600000"/>
    <n v="210000"/>
    <n v="16800000"/>
    <n v="1200000"/>
  </r>
  <r>
    <x v="92"/>
    <x v="0"/>
    <x v="0"/>
    <x v="2"/>
    <n v="60"/>
    <n v="95000"/>
    <n v="5700000"/>
    <n v="210000"/>
    <n v="12600000"/>
    <n v="6900000"/>
  </r>
  <r>
    <x v="93"/>
    <x v="0"/>
    <x v="0"/>
    <x v="0"/>
    <n v="40"/>
    <n v="155000"/>
    <n v="6200000"/>
    <n v="225000"/>
    <n v="9000000"/>
    <n v="2800000"/>
  </r>
  <r>
    <x v="94"/>
    <x v="0"/>
    <x v="0"/>
    <x v="1"/>
    <n v="80"/>
    <n v="125000"/>
    <n v="10000000"/>
    <n v="210000"/>
    <n v="16800000"/>
    <n v="6800000"/>
  </r>
  <r>
    <x v="95"/>
    <x v="0"/>
    <x v="0"/>
    <x v="2"/>
    <n v="50"/>
    <n v="165000"/>
    <n v="8250000"/>
    <n v="210000"/>
    <n v="10500000"/>
    <n v="2250000"/>
  </r>
  <r>
    <x v="96"/>
    <x v="0"/>
    <x v="0"/>
    <x v="0"/>
    <n v="90"/>
    <n v="195000"/>
    <n v="17550000"/>
    <n v="225000"/>
    <n v="20250000"/>
    <n v="2700000"/>
  </r>
  <r>
    <x v="97"/>
    <x v="0"/>
    <x v="0"/>
    <x v="1"/>
    <n v="90"/>
    <n v="95000"/>
    <n v="8550000"/>
    <n v="210000"/>
    <n v="18900000"/>
    <n v="10350000"/>
  </r>
  <r>
    <x v="98"/>
    <x v="0"/>
    <x v="0"/>
    <x v="2"/>
    <n v="60"/>
    <n v="105000"/>
    <n v="6300000"/>
    <n v="210000"/>
    <n v="12600000"/>
    <n v="6300000"/>
  </r>
  <r>
    <x v="99"/>
    <x v="1"/>
    <x v="0"/>
    <x v="0"/>
    <n v="80"/>
    <n v="145000"/>
    <n v="11600000"/>
    <n v="225000"/>
    <n v="18000000"/>
    <n v="6400000"/>
  </r>
  <r>
    <x v="100"/>
    <x v="2"/>
    <x v="0"/>
    <x v="1"/>
    <n v="80"/>
    <n v="175000"/>
    <n v="14000000"/>
    <n v="210000"/>
    <n v="16800000"/>
    <n v="2800000"/>
  </r>
  <r>
    <x v="101"/>
    <x v="2"/>
    <x v="0"/>
    <x v="2"/>
    <n v="70"/>
    <n v="125000"/>
    <n v="8750000"/>
    <n v="210000"/>
    <n v="14700000"/>
    <n v="5950000"/>
  </r>
  <r>
    <x v="102"/>
    <x v="0"/>
    <x v="0"/>
    <x v="0"/>
    <n v="60"/>
    <n v="165000"/>
    <n v="9900000"/>
    <n v="225000"/>
    <n v="13500000"/>
    <n v="3600000"/>
  </r>
  <r>
    <x v="103"/>
    <x v="0"/>
    <x v="0"/>
    <x v="1"/>
    <n v="40"/>
    <n v="185000"/>
    <n v="7400000"/>
    <n v="210000"/>
    <n v="8400000"/>
    <n v="1000000"/>
  </r>
  <r>
    <x v="104"/>
    <x v="0"/>
    <x v="1"/>
    <x v="2"/>
    <n v="40"/>
    <n v="175000"/>
    <n v="7000000"/>
    <n v="210000"/>
    <n v="8400000"/>
    <n v="1400000"/>
  </r>
  <r>
    <x v="105"/>
    <x v="0"/>
    <x v="1"/>
    <x v="0"/>
    <n v="80"/>
    <n v="165000"/>
    <n v="13200000"/>
    <n v="225000"/>
    <n v="18000000"/>
    <n v="4800000"/>
  </r>
  <r>
    <x v="106"/>
    <x v="0"/>
    <x v="1"/>
    <x v="1"/>
    <n v="80"/>
    <n v="145000"/>
    <n v="11600000"/>
    <n v="210000"/>
    <n v="16800000"/>
    <n v="5200000"/>
  </r>
  <r>
    <x v="107"/>
    <x v="0"/>
    <x v="1"/>
    <x v="2"/>
    <n v="70"/>
    <n v="135000"/>
    <n v="9450000"/>
    <n v="210000"/>
    <n v="14700000"/>
    <n v="5250000"/>
  </r>
  <r>
    <x v="108"/>
    <x v="0"/>
    <x v="2"/>
    <x v="0"/>
    <n v="60"/>
    <n v="145000"/>
    <n v="8700000"/>
    <n v="225000"/>
    <n v="13500000"/>
    <n v="4800000"/>
  </r>
  <r>
    <x v="109"/>
    <x v="1"/>
    <x v="2"/>
    <x v="1"/>
    <n v="80"/>
    <n v="145000"/>
    <n v="11600000"/>
    <n v="210000"/>
    <n v="16800000"/>
    <n v="5200000"/>
  </r>
  <r>
    <x v="110"/>
    <x v="2"/>
    <x v="2"/>
    <x v="2"/>
    <n v="50"/>
    <n v="205000"/>
    <n v="10250000"/>
    <n v="210000"/>
    <n v="10500000"/>
    <n v="250000"/>
  </r>
  <r>
    <x v="111"/>
    <x v="2"/>
    <x v="2"/>
    <x v="0"/>
    <n v="50"/>
    <n v="115000"/>
    <n v="5750000"/>
    <n v="225000"/>
    <n v="11250000"/>
    <n v="5500000"/>
  </r>
  <r>
    <x v="112"/>
    <x v="0"/>
    <x v="0"/>
    <x v="1"/>
    <n v="50"/>
    <n v="215000"/>
    <n v="10750000"/>
    <n v="210000"/>
    <n v="10500000"/>
    <n v="-250000"/>
  </r>
  <r>
    <x v="113"/>
    <x v="0"/>
    <x v="0"/>
    <x v="2"/>
    <n v="90"/>
    <n v="115000"/>
    <n v="10350000"/>
    <n v="210000"/>
    <n v="18900000"/>
    <n v="8550000"/>
  </r>
  <r>
    <x v="114"/>
    <x v="0"/>
    <x v="0"/>
    <x v="0"/>
    <n v="80"/>
    <n v="165000"/>
    <n v="13200000"/>
    <n v="225000"/>
    <n v="18000000"/>
    <n v="4800000"/>
  </r>
  <r>
    <x v="115"/>
    <x v="0"/>
    <x v="0"/>
    <x v="1"/>
    <n v="90"/>
    <n v="145000"/>
    <n v="13050000"/>
    <n v="210000"/>
    <n v="18900000"/>
    <n v="5850000"/>
  </r>
  <r>
    <x v="116"/>
    <x v="0"/>
    <x v="0"/>
    <x v="2"/>
    <n v="40"/>
    <n v="125000"/>
    <n v="5000000"/>
    <n v="210000"/>
    <n v="8400000"/>
    <n v="3400000"/>
  </r>
  <r>
    <x v="117"/>
    <x v="0"/>
    <x v="0"/>
    <x v="0"/>
    <n v="90"/>
    <n v="155000"/>
    <n v="13950000"/>
    <n v="225000"/>
    <n v="20250000"/>
    <n v="6300000"/>
  </r>
  <r>
    <x v="118"/>
    <x v="0"/>
    <x v="0"/>
    <x v="1"/>
    <n v="60"/>
    <n v="175000"/>
    <n v="10500000"/>
    <n v="210000"/>
    <n v="12600000"/>
    <n v="2100000"/>
  </r>
  <r>
    <x v="119"/>
    <x v="1"/>
    <x v="0"/>
    <x v="2"/>
    <n v="70"/>
    <n v="205000"/>
    <n v="14350000"/>
    <n v="210000"/>
    <n v="14700000"/>
    <n v="350000"/>
  </r>
  <r>
    <x v="120"/>
    <x v="2"/>
    <x v="0"/>
    <x v="0"/>
    <n v="60"/>
    <n v="165000"/>
    <n v="9900000"/>
    <n v="225000"/>
    <n v="13500000"/>
    <n v="3600000"/>
  </r>
  <r>
    <x v="121"/>
    <x v="2"/>
    <x v="0"/>
    <x v="1"/>
    <n v="70"/>
    <n v="145000"/>
    <n v="10150000"/>
    <n v="210000"/>
    <n v="14700000"/>
    <n v="4550000"/>
  </r>
  <r>
    <x v="122"/>
    <x v="0"/>
    <x v="0"/>
    <x v="2"/>
    <n v="40"/>
    <n v="175000"/>
    <n v="7000000"/>
    <n v="210000"/>
    <n v="8400000"/>
    <n v="1400000"/>
  </r>
  <r>
    <x v="123"/>
    <x v="0"/>
    <x v="0"/>
    <x v="0"/>
    <n v="90"/>
    <n v="145000"/>
    <n v="13050000"/>
    <n v="225000"/>
    <n v="20250000"/>
    <n v="7200000"/>
  </r>
  <r>
    <x v="124"/>
    <x v="0"/>
    <x v="1"/>
    <x v="1"/>
    <n v="40"/>
    <n v="165000"/>
    <n v="6600000"/>
    <n v="210000"/>
    <n v="8400000"/>
    <n v="1800000"/>
  </r>
  <r>
    <x v="125"/>
    <x v="0"/>
    <x v="1"/>
    <x v="2"/>
    <n v="70"/>
    <n v="155000"/>
    <n v="10850000"/>
    <n v="210000"/>
    <n v="14700000"/>
    <n v="3850000"/>
  </r>
  <r>
    <x v="126"/>
    <x v="0"/>
    <x v="1"/>
    <x v="0"/>
    <n v="80"/>
    <n v="185000"/>
    <n v="14800000"/>
    <n v="225000"/>
    <n v="18000000"/>
    <n v="3200000"/>
  </r>
  <r>
    <x v="127"/>
    <x v="0"/>
    <x v="1"/>
    <x v="1"/>
    <n v="70"/>
    <n v="145000"/>
    <n v="10150000"/>
    <n v="210000"/>
    <n v="14700000"/>
    <n v="4550000"/>
  </r>
  <r>
    <x v="128"/>
    <x v="0"/>
    <x v="2"/>
    <x v="2"/>
    <n v="80"/>
    <n v="115000"/>
    <n v="9200000"/>
    <n v="210000"/>
    <n v="16800000"/>
    <n v="7600000"/>
  </r>
  <r>
    <x v="129"/>
    <x v="1"/>
    <x v="2"/>
    <x v="0"/>
    <n v="70"/>
    <n v="195000"/>
    <n v="13650000"/>
    <n v="225000"/>
    <n v="15750000"/>
    <n v="2100000"/>
  </r>
  <r>
    <x v="130"/>
    <x v="2"/>
    <x v="2"/>
    <x v="1"/>
    <n v="50"/>
    <n v="175000"/>
    <n v="8750000"/>
    <n v="210000"/>
    <n v="10500000"/>
    <n v="1750000"/>
  </r>
  <r>
    <x v="131"/>
    <x v="2"/>
    <x v="2"/>
    <x v="2"/>
    <n v="50"/>
    <n v="195000"/>
    <n v="9750000"/>
    <n v="210000"/>
    <n v="10500000"/>
    <n v="750000"/>
  </r>
  <r>
    <x v="132"/>
    <x v="0"/>
    <x v="0"/>
    <x v="0"/>
    <n v="70"/>
    <n v="215000"/>
    <n v="15050000"/>
    <n v="225000"/>
    <n v="15750000"/>
    <n v="700000"/>
  </r>
  <r>
    <x v="133"/>
    <x v="0"/>
    <x v="0"/>
    <x v="1"/>
    <n v="80"/>
    <n v="215000"/>
    <n v="17200000"/>
    <n v="210000"/>
    <n v="16800000"/>
    <n v="-400000"/>
  </r>
  <r>
    <x v="134"/>
    <x v="0"/>
    <x v="0"/>
    <x v="2"/>
    <n v="90"/>
    <n v="145000"/>
    <n v="13050000"/>
    <n v="210000"/>
    <n v="18900000"/>
    <n v="5850000"/>
  </r>
  <r>
    <x v="135"/>
    <x v="0"/>
    <x v="0"/>
    <x v="0"/>
    <n v="50"/>
    <n v="175000"/>
    <n v="8750000"/>
    <n v="225000"/>
    <n v="11250000"/>
    <n v="2500000"/>
  </r>
  <r>
    <x v="136"/>
    <x v="0"/>
    <x v="0"/>
    <x v="1"/>
    <n v="80"/>
    <n v="95000"/>
    <n v="7600000"/>
    <n v="210000"/>
    <n v="16800000"/>
    <n v="9200000"/>
  </r>
  <r>
    <x v="137"/>
    <x v="0"/>
    <x v="0"/>
    <x v="2"/>
    <n v="70"/>
    <n v="115000"/>
    <n v="8050000"/>
    <n v="210000"/>
    <n v="14700000"/>
    <n v="6650000"/>
  </r>
  <r>
    <x v="138"/>
    <x v="0"/>
    <x v="0"/>
    <x v="0"/>
    <n v="50"/>
    <n v="95000"/>
    <n v="4750000"/>
    <n v="225000"/>
    <n v="11250000"/>
    <n v="6500000"/>
  </r>
  <r>
    <x v="139"/>
    <x v="1"/>
    <x v="0"/>
    <x v="1"/>
    <n v="50"/>
    <n v="115000"/>
    <n v="5750000"/>
    <n v="210000"/>
    <n v="10500000"/>
    <n v="4750000"/>
  </r>
  <r>
    <x v="140"/>
    <x v="2"/>
    <x v="0"/>
    <x v="2"/>
    <n v="60"/>
    <n v="195000"/>
    <n v="11700000"/>
    <n v="210000"/>
    <n v="12600000"/>
    <n v="900000"/>
  </r>
  <r>
    <x v="141"/>
    <x v="2"/>
    <x v="0"/>
    <x v="0"/>
    <n v="60"/>
    <n v="165000"/>
    <n v="9900000"/>
    <n v="225000"/>
    <n v="13500000"/>
    <n v="3600000"/>
  </r>
  <r>
    <x v="142"/>
    <x v="0"/>
    <x v="0"/>
    <x v="1"/>
    <n v="70"/>
    <n v="125000"/>
    <n v="8750000"/>
    <n v="210000"/>
    <n v="14700000"/>
    <n v="5950000"/>
  </r>
  <r>
    <x v="143"/>
    <x v="0"/>
    <x v="0"/>
    <x v="2"/>
    <n v="40"/>
    <n v="205000"/>
    <n v="8200000"/>
    <n v="210000"/>
    <n v="8400000"/>
    <n v="200000"/>
  </r>
  <r>
    <x v="144"/>
    <x v="0"/>
    <x v="1"/>
    <x v="0"/>
    <n v="80"/>
    <n v="205000"/>
    <n v="16400000"/>
    <n v="225000"/>
    <n v="18000000"/>
    <n v="1600000"/>
  </r>
  <r>
    <x v="145"/>
    <x v="0"/>
    <x v="1"/>
    <x v="1"/>
    <n v="80"/>
    <n v="135000"/>
    <n v="10800000"/>
    <n v="210000"/>
    <n v="16800000"/>
    <n v="6000000"/>
  </r>
  <r>
    <x v="146"/>
    <x v="0"/>
    <x v="1"/>
    <x v="2"/>
    <n v="70"/>
    <n v="205000"/>
    <n v="14350000"/>
    <n v="210000"/>
    <n v="14700000"/>
    <n v="350000"/>
  </r>
  <r>
    <x v="147"/>
    <x v="0"/>
    <x v="1"/>
    <x v="0"/>
    <n v="70"/>
    <n v="105000"/>
    <n v="7350000"/>
    <n v="225000"/>
    <n v="15750000"/>
    <n v="8400000"/>
  </r>
  <r>
    <x v="148"/>
    <x v="0"/>
    <x v="2"/>
    <x v="1"/>
    <n v="60"/>
    <n v="135000"/>
    <n v="8100000"/>
    <n v="210000"/>
    <n v="12600000"/>
    <n v="4500000"/>
  </r>
  <r>
    <x v="149"/>
    <x v="1"/>
    <x v="2"/>
    <x v="2"/>
    <n v="60"/>
    <n v="105000"/>
    <n v="6300000"/>
    <n v="210000"/>
    <n v="12600000"/>
    <n v="6300000"/>
  </r>
  <r>
    <x v="150"/>
    <x v="2"/>
    <x v="2"/>
    <x v="0"/>
    <n v="90"/>
    <n v="175000"/>
    <n v="15750000"/>
    <n v="225000"/>
    <n v="20250000"/>
    <n v="4500000"/>
  </r>
  <r>
    <x v="151"/>
    <x v="2"/>
    <x v="2"/>
    <x v="1"/>
    <n v="50"/>
    <n v="175000"/>
    <n v="8750000"/>
    <n v="210000"/>
    <n v="10500000"/>
    <n v="1750000"/>
  </r>
  <r>
    <x v="152"/>
    <x v="0"/>
    <x v="0"/>
    <x v="2"/>
    <n v="60"/>
    <n v="115000"/>
    <n v="6900000"/>
    <n v="210000"/>
    <n v="12600000"/>
    <n v="5700000"/>
  </r>
  <r>
    <x v="153"/>
    <x v="0"/>
    <x v="0"/>
    <x v="0"/>
    <n v="50"/>
    <n v="175000"/>
    <n v="8750000"/>
    <n v="225000"/>
    <n v="11250000"/>
    <n v="2500000"/>
  </r>
  <r>
    <x v="154"/>
    <x v="0"/>
    <x v="0"/>
    <x v="1"/>
    <n v="90"/>
    <n v="135000"/>
    <n v="12150000"/>
    <n v="210000"/>
    <n v="18900000"/>
    <n v="6750000"/>
  </r>
  <r>
    <x v="155"/>
    <x v="0"/>
    <x v="0"/>
    <x v="2"/>
    <n v="50"/>
    <n v="165000"/>
    <n v="8250000"/>
    <n v="210000"/>
    <n v="10500000"/>
    <n v="2250000"/>
  </r>
  <r>
    <x v="156"/>
    <x v="0"/>
    <x v="0"/>
    <x v="0"/>
    <n v="50"/>
    <n v="145000"/>
    <n v="7250000"/>
    <n v="225000"/>
    <n v="11250000"/>
    <n v="4000000"/>
  </r>
  <r>
    <x v="157"/>
    <x v="0"/>
    <x v="0"/>
    <x v="1"/>
    <n v="40"/>
    <n v="145000"/>
    <n v="5800000"/>
    <n v="210000"/>
    <n v="8400000"/>
    <n v="2600000"/>
  </r>
  <r>
    <x v="158"/>
    <x v="0"/>
    <x v="0"/>
    <x v="2"/>
    <n v="70"/>
    <n v="105000"/>
    <n v="7350000"/>
    <n v="210000"/>
    <n v="14700000"/>
    <n v="7350000"/>
  </r>
  <r>
    <x v="159"/>
    <x v="1"/>
    <x v="0"/>
    <x v="0"/>
    <n v="50"/>
    <n v="135000"/>
    <n v="6750000"/>
    <n v="225000"/>
    <n v="11250000"/>
    <n v="4500000"/>
  </r>
  <r>
    <x v="160"/>
    <x v="2"/>
    <x v="0"/>
    <x v="1"/>
    <n v="60"/>
    <n v="145000"/>
    <n v="8700000"/>
    <n v="210000"/>
    <n v="12600000"/>
    <n v="3900000"/>
  </r>
  <r>
    <x v="161"/>
    <x v="2"/>
    <x v="0"/>
    <x v="2"/>
    <n v="60"/>
    <n v="105000"/>
    <n v="6300000"/>
    <n v="210000"/>
    <n v="12600000"/>
    <n v="6300000"/>
  </r>
  <r>
    <x v="162"/>
    <x v="0"/>
    <x v="0"/>
    <x v="0"/>
    <n v="90"/>
    <n v="155000"/>
    <n v="13950000"/>
    <n v="225000"/>
    <n v="20250000"/>
    <n v="6300000"/>
  </r>
  <r>
    <x v="163"/>
    <x v="0"/>
    <x v="0"/>
    <x v="1"/>
    <n v="50"/>
    <n v="145000"/>
    <n v="7250000"/>
    <n v="210000"/>
    <n v="10500000"/>
    <n v="3250000"/>
  </r>
  <r>
    <x v="164"/>
    <x v="0"/>
    <x v="1"/>
    <x v="2"/>
    <n v="90"/>
    <n v="115000"/>
    <n v="10350000"/>
    <n v="210000"/>
    <n v="18900000"/>
    <n v="8550000"/>
  </r>
  <r>
    <x v="165"/>
    <x v="0"/>
    <x v="1"/>
    <x v="0"/>
    <n v="90"/>
    <n v="105000"/>
    <n v="9450000"/>
    <n v="225000"/>
    <n v="20250000"/>
    <n v="10800000"/>
  </r>
  <r>
    <x v="166"/>
    <x v="0"/>
    <x v="1"/>
    <x v="1"/>
    <n v="40"/>
    <n v="165000"/>
    <n v="6600000"/>
    <n v="210000"/>
    <n v="8400000"/>
    <n v="1800000"/>
  </r>
  <r>
    <x v="167"/>
    <x v="0"/>
    <x v="1"/>
    <x v="2"/>
    <n v="40"/>
    <n v="95000"/>
    <n v="3800000"/>
    <n v="210000"/>
    <n v="8400000"/>
    <n v="4600000"/>
  </r>
  <r>
    <x v="168"/>
    <x v="0"/>
    <x v="2"/>
    <x v="0"/>
    <n v="70"/>
    <n v="215000"/>
    <n v="15050000"/>
    <n v="225000"/>
    <n v="15750000"/>
    <n v="700000"/>
  </r>
  <r>
    <x v="169"/>
    <x v="1"/>
    <x v="2"/>
    <x v="1"/>
    <n v="90"/>
    <n v="175000"/>
    <n v="15750000"/>
    <n v="210000"/>
    <n v="18900000"/>
    <n v="3150000"/>
  </r>
  <r>
    <x v="170"/>
    <x v="2"/>
    <x v="2"/>
    <x v="2"/>
    <n v="60"/>
    <n v="135000"/>
    <n v="8100000"/>
    <n v="210000"/>
    <n v="12600000"/>
    <n v="4500000"/>
  </r>
  <r>
    <x v="171"/>
    <x v="2"/>
    <x v="2"/>
    <x v="0"/>
    <n v="50"/>
    <n v="165000"/>
    <n v="8250000"/>
    <n v="225000"/>
    <n v="11250000"/>
    <n v="3000000"/>
  </r>
  <r>
    <x v="172"/>
    <x v="0"/>
    <x v="0"/>
    <x v="1"/>
    <n v="50"/>
    <n v="95000"/>
    <n v="4750000"/>
    <n v="210000"/>
    <n v="10500000"/>
    <n v="5750000"/>
  </r>
  <r>
    <x v="173"/>
    <x v="0"/>
    <x v="0"/>
    <x v="2"/>
    <n v="80"/>
    <n v="85000"/>
    <n v="6800000"/>
    <n v="210000"/>
    <n v="16800000"/>
    <n v="10000000"/>
  </r>
  <r>
    <x v="174"/>
    <x v="0"/>
    <x v="0"/>
    <x v="0"/>
    <n v="80"/>
    <n v="115000"/>
    <n v="9200000"/>
    <n v="225000"/>
    <n v="18000000"/>
    <n v="8800000"/>
  </r>
  <r>
    <x v="175"/>
    <x v="0"/>
    <x v="0"/>
    <x v="1"/>
    <n v="70"/>
    <n v="135000"/>
    <n v="9450000"/>
    <n v="210000"/>
    <n v="14700000"/>
    <n v="5250000"/>
  </r>
  <r>
    <x v="176"/>
    <x v="0"/>
    <x v="0"/>
    <x v="2"/>
    <n v="60"/>
    <n v="205000"/>
    <n v="12300000"/>
    <n v="210000"/>
    <n v="12600000"/>
    <n v="300000"/>
  </r>
  <r>
    <x v="177"/>
    <x v="0"/>
    <x v="0"/>
    <x v="0"/>
    <n v="80"/>
    <n v="165000"/>
    <n v="13200000"/>
    <n v="225000"/>
    <n v="18000000"/>
    <n v="4800000"/>
  </r>
  <r>
    <x v="178"/>
    <x v="0"/>
    <x v="0"/>
    <x v="1"/>
    <n v="90"/>
    <n v="95000"/>
    <n v="8550000"/>
    <n v="210000"/>
    <n v="18900000"/>
    <n v="10350000"/>
  </r>
  <r>
    <x v="179"/>
    <x v="1"/>
    <x v="0"/>
    <x v="2"/>
    <n v="70"/>
    <n v="155000"/>
    <n v="10850000"/>
    <n v="210000"/>
    <n v="14700000"/>
    <n v="3850000"/>
  </r>
  <r>
    <x v="180"/>
    <x v="2"/>
    <x v="0"/>
    <x v="0"/>
    <n v="60"/>
    <n v="135000"/>
    <n v="8100000"/>
    <n v="225000"/>
    <n v="13500000"/>
    <n v="5400000"/>
  </r>
  <r>
    <x v="181"/>
    <x v="2"/>
    <x v="0"/>
    <x v="1"/>
    <n v="70"/>
    <n v="115000"/>
    <n v="8050000"/>
    <n v="210000"/>
    <n v="14700000"/>
    <n v="6650000"/>
  </r>
  <r>
    <x v="182"/>
    <x v="0"/>
    <x v="0"/>
    <x v="2"/>
    <n v="90"/>
    <n v="165000"/>
    <n v="14850000"/>
    <n v="210000"/>
    <n v="18900000"/>
    <n v="4050000"/>
  </r>
  <r>
    <x v="183"/>
    <x v="0"/>
    <x v="0"/>
    <x v="0"/>
    <n v="60"/>
    <n v="105000"/>
    <n v="6300000"/>
    <n v="225000"/>
    <n v="13500000"/>
    <n v="7200000"/>
  </r>
  <r>
    <x v="184"/>
    <x v="0"/>
    <x v="1"/>
    <x v="1"/>
    <n v="80"/>
    <n v="165000"/>
    <n v="13200000"/>
    <n v="210000"/>
    <n v="16800000"/>
    <n v="3600000"/>
  </r>
  <r>
    <x v="185"/>
    <x v="0"/>
    <x v="1"/>
    <x v="2"/>
    <n v="80"/>
    <n v="195000"/>
    <n v="15600000"/>
    <n v="210000"/>
    <n v="16800000"/>
    <n v="1200000"/>
  </r>
  <r>
    <x v="186"/>
    <x v="0"/>
    <x v="1"/>
    <x v="0"/>
    <n v="70"/>
    <n v="105000"/>
    <n v="7350000"/>
    <n v="225000"/>
    <n v="15750000"/>
    <n v="8400000"/>
  </r>
  <r>
    <x v="187"/>
    <x v="0"/>
    <x v="1"/>
    <x v="1"/>
    <n v="60"/>
    <n v="165000"/>
    <n v="9900000"/>
    <n v="210000"/>
    <n v="12600000"/>
    <n v="2700000"/>
  </r>
  <r>
    <x v="188"/>
    <x v="0"/>
    <x v="2"/>
    <x v="2"/>
    <n v="90"/>
    <n v="195000"/>
    <n v="17550000"/>
    <n v="210000"/>
    <n v="18900000"/>
    <n v="1350000"/>
  </r>
  <r>
    <x v="189"/>
    <x v="1"/>
    <x v="2"/>
    <x v="0"/>
    <n v="60"/>
    <n v="165000"/>
    <n v="9900000"/>
    <n v="225000"/>
    <n v="13500000"/>
    <n v="3600000"/>
  </r>
  <r>
    <x v="190"/>
    <x v="2"/>
    <x v="2"/>
    <x v="1"/>
    <n v="40"/>
    <n v="185000"/>
    <n v="7400000"/>
    <n v="210000"/>
    <n v="8400000"/>
    <n v="1000000"/>
  </r>
  <r>
    <x v="191"/>
    <x v="2"/>
    <x v="2"/>
    <x v="2"/>
    <n v="80"/>
    <n v="165000"/>
    <n v="13200000"/>
    <n v="210000"/>
    <n v="16800000"/>
    <n v="3600000"/>
  </r>
  <r>
    <x v="192"/>
    <x v="0"/>
    <x v="0"/>
    <x v="0"/>
    <n v="50"/>
    <n v="185000"/>
    <n v="9250000"/>
    <n v="225000"/>
    <n v="11250000"/>
    <n v="2000000"/>
  </r>
  <r>
    <x v="193"/>
    <x v="0"/>
    <x v="0"/>
    <x v="1"/>
    <n v="80"/>
    <n v="205000"/>
    <n v="16400000"/>
    <n v="210000"/>
    <n v="16800000"/>
    <n v="400000"/>
  </r>
  <r>
    <x v="194"/>
    <x v="0"/>
    <x v="0"/>
    <x v="2"/>
    <n v="80"/>
    <n v="185000"/>
    <n v="14800000"/>
    <n v="210000"/>
    <n v="16800000"/>
    <n v="2000000"/>
  </r>
  <r>
    <x v="195"/>
    <x v="0"/>
    <x v="0"/>
    <x v="0"/>
    <n v="60"/>
    <n v="105000"/>
    <n v="6300000"/>
    <n v="225000"/>
    <n v="13500000"/>
    <n v="7200000"/>
  </r>
  <r>
    <x v="196"/>
    <x v="0"/>
    <x v="0"/>
    <x v="1"/>
    <n v="40"/>
    <n v="165000"/>
    <n v="6600000"/>
    <n v="210000"/>
    <n v="8400000"/>
    <n v="1800000"/>
  </r>
  <r>
    <x v="197"/>
    <x v="0"/>
    <x v="0"/>
    <x v="2"/>
    <n v="50"/>
    <n v="115000"/>
    <n v="5750000"/>
    <n v="210000"/>
    <n v="10500000"/>
    <n v="4750000"/>
  </r>
  <r>
    <x v="198"/>
    <x v="0"/>
    <x v="0"/>
    <x v="0"/>
    <n v="60"/>
    <n v="165000"/>
    <n v="9900000"/>
    <n v="225000"/>
    <n v="13500000"/>
    <n v="3600000"/>
  </r>
  <r>
    <x v="199"/>
    <x v="1"/>
    <x v="0"/>
    <x v="1"/>
    <n v="80"/>
    <n v="195000"/>
    <n v="15600000"/>
    <n v="210000"/>
    <n v="16800000"/>
    <n v="1200000"/>
  </r>
  <r>
    <x v="200"/>
    <x v="2"/>
    <x v="0"/>
    <x v="2"/>
    <n v="90"/>
    <n v="125000"/>
    <n v="11250000"/>
    <n v="210000"/>
    <n v="18900000"/>
    <n v="7650000"/>
  </r>
  <r>
    <x v="201"/>
    <x v="2"/>
    <x v="0"/>
    <x v="0"/>
    <n v="80"/>
    <n v="115000"/>
    <n v="9200000"/>
    <n v="225000"/>
    <n v="18000000"/>
    <n v="8800000"/>
  </r>
  <r>
    <x v="202"/>
    <x v="0"/>
    <x v="0"/>
    <x v="1"/>
    <n v="60"/>
    <n v="155000"/>
    <n v="9300000"/>
    <n v="210000"/>
    <n v="12600000"/>
    <n v="3300000"/>
  </r>
  <r>
    <x v="203"/>
    <x v="0"/>
    <x v="0"/>
    <x v="2"/>
    <n v="60"/>
    <n v="145000"/>
    <n v="8700000"/>
    <n v="210000"/>
    <n v="12600000"/>
    <n v="3900000"/>
  </r>
  <r>
    <x v="204"/>
    <x v="0"/>
    <x v="1"/>
    <x v="0"/>
    <n v="60"/>
    <n v="115000"/>
    <n v="6900000"/>
    <n v="225000"/>
    <n v="13500000"/>
    <n v="6600000"/>
  </r>
  <r>
    <x v="205"/>
    <x v="0"/>
    <x v="1"/>
    <x v="1"/>
    <n v="70"/>
    <n v="155000"/>
    <n v="10850000"/>
    <n v="210000"/>
    <n v="14700000"/>
    <n v="3850000"/>
  </r>
  <r>
    <x v="206"/>
    <x v="0"/>
    <x v="1"/>
    <x v="2"/>
    <n v="50"/>
    <n v="155000"/>
    <n v="7750000"/>
    <n v="210000"/>
    <n v="10500000"/>
    <n v="2750000"/>
  </r>
  <r>
    <x v="207"/>
    <x v="0"/>
    <x v="1"/>
    <x v="0"/>
    <n v="50"/>
    <n v="105000"/>
    <n v="5250000"/>
    <n v="225000"/>
    <n v="11250000"/>
    <n v="6000000"/>
  </r>
  <r>
    <x v="208"/>
    <x v="0"/>
    <x v="2"/>
    <x v="1"/>
    <n v="80"/>
    <n v="155000"/>
    <n v="12400000"/>
    <n v="210000"/>
    <n v="16800000"/>
    <n v="4400000"/>
  </r>
  <r>
    <x v="209"/>
    <x v="1"/>
    <x v="2"/>
    <x v="2"/>
    <n v="70"/>
    <n v="205000"/>
    <n v="14350000"/>
    <n v="210000"/>
    <n v="14700000"/>
    <n v="350000"/>
  </r>
  <r>
    <x v="210"/>
    <x v="2"/>
    <x v="2"/>
    <x v="0"/>
    <n v="60"/>
    <n v="195000"/>
    <n v="11700000"/>
    <n v="225000"/>
    <n v="13500000"/>
    <n v="1800000"/>
  </r>
  <r>
    <x v="211"/>
    <x v="2"/>
    <x v="2"/>
    <x v="1"/>
    <n v="40"/>
    <n v="125000"/>
    <n v="5000000"/>
    <n v="210000"/>
    <n v="8400000"/>
    <n v="34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67F9DA-1685-43E1-99FD-323F18CFB02B}"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67:B75" firstHeaderRow="1" firstDataRow="1" firstDataCol="1"/>
  <pivotFields count="12">
    <pivotField numFmtId="1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showAll="0">
      <items count="4">
        <item x="0"/>
        <item x="2"/>
        <item x="1"/>
        <item t="default"/>
      </items>
    </pivotField>
    <pivotField showAll="0">
      <items count="4">
        <item x="0"/>
        <item x="1"/>
        <item x="2"/>
        <item t="default"/>
      </items>
    </pivotField>
    <pivotField showAll="0">
      <items count="4">
        <item x="1"/>
        <item x="2"/>
        <item x="0"/>
        <item t="default"/>
      </items>
    </pivotField>
    <pivotField numFmtId="164" showAll="0"/>
    <pivotField numFmtId="164" showAll="0"/>
    <pivotField numFmtId="164" showAll="0"/>
    <pivotField numFmtId="164" showAll="0"/>
    <pivotField numFmtId="164" showAll="0"/>
    <pivotField dataField="1"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8">
    <i>
      <x v="1"/>
    </i>
    <i>
      <x v="2"/>
    </i>
    <i>
      <x v="3"/>
    </i>
    <i>
      <x v="4"/>
    </i>
    <i>
      <x v="5"/>
    </i>
    <i>
      <x v="6"/>
    </i>
    <i>
      <x v="7"/>
    </i>
    <i t="grand">
      <x/>
    </i>
  </rowItems>
  <colItems count="1">
    <i/>
  </colItems>
  <dataFields count="1">
    <dataField name="Total Laba" fld="9" baseField="0" baseItem="0" numFmtId="164"/>
  </dataFields>
  <formats count="1">
    <format dxfId="8">
      <pivotArea outline="0" collapsedLevelsAreSubtotals="1" fieldPosition="0"/>
    </format>
  </formats>
  <chartFormats count="7">
    <chartFormat chart="5"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33" name="Tanggal">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561F6A-BCE1-412A-82E5-27C2EF9A916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3:B17" firstHeaderRow="1" firstDataRow="1" firstDataCol="1"/>
  <pivotFields count="12">
    <pivotField numFmtId="1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showAll="0">
      <items count="4">
        <item x="0"/>
        <item x="2"/>
        <item x="1"/>
        <item t="default"/>
      </items>
    </pivotField>
    <pivotField showAll="0">
      <items count="4">
        <item x="0"/>
        <item x="1"/>
        <item x="2"/>
        <item t="default"/>
      </items>
    </pivotField>
    <pivotField axis="axisRow" showAll="0">
      <items count="4">
        <item x="1"/>
        <item x="2"/>
        <item x="0"/>
        <item t="default"/>
      </items>
    </pivotField>
    <pivotField dataField="1" numFmtId="164" showAll="0"/>
    <pivotField numFmtId="164" showAll="0"/>
    <pivotField numFmtId="164" showAll="0"/>
    <pivotField numFmtId="164" showAll="0"/>
    <pivotField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Volume" fld="4" baseField="0" baseItem="0" numFmtId="164"/>
  </dataFields>
  <formats count="1">
    <format dxfId="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33" name="Tanggal">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EAA6DB-4AF9-4B7F-B763-1F1923B84DE2}"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44:D48" firstHeaderRow="0" firstDataRow="1" firstDataCol="1"/>
  <pivotFields count="12">
    <pivotField numFmtId="1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showAll="0">
      <items count="4">
        <item x="0"/>
        <item x="2"/>
        <item x="1"/>
        <item t="default"/>
      </items>
    </pivotField>
    <pivotField showAll="0">
      <items count="4">
        <item x="0"/>
        <item x="1"/>
        <item x="2"/>
        <item t="default"/>
      </items>
    </pivotField>
    <pivotField axis="axisRow" showAll="0">
      <items count="4">
        <item x="1"/>
        <item x="2"/>
        <item x="0"/>
        <item t="default"/>
      </items>
    </pivotField>
    <pivotField numFmtId="164" showAll="0"/>
    <pivotField numFmtId="164" showAll="0"/>
    <pivotField dataField="1" numFmtId="164" showAll="0"/>
    <pivotField numFmtId="164" showAll="0"/>
    <pivotField dataField="1" numFmtId="164"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Fields count="1">
    <field x="-2"/>
  </colFields>
  <colItems count="3">
    <i>
      <x/>
    </i>
    <i i="1">
      <x v="1"/>
    </i>
    <i i="2">
      <x v="2"/>
    </i>
  </colItems>
  <dataFields count="3">
    <dataField name="pembelian" fld="6" baseField="0" baseItem="0" numFmtId="164"/>
    <dataField name="Penjualan" fld="8" baseField="0" baseItem="0" numFmtId="164"/>
    <dataField name="Total Laba" fld="9" baseField="0" baseItem="0" numFmtId="164"/>
  </dataFields>
  <formats count="1">
    <format dxfId="10">
      <pivotArea outline="0" collapsedLevelsAreSubtotals="1" fieldPosition="0"/>
    </format>
  </formats>
  <chartFormats count="15">
    <chartFormat chart="5" format="0" series="1">
      <pivotArea type="data" outline="0" fieldPosition="0">
        <references count="1">
          <reference field="4294967294" count="1" selected="0">
            <x v="2"/>
          </reference>
        </references>
      </pivotArea>
    </chartFormat>
    <chartFormat chart="7" format="1" series="1">
      <pivotArea type="data" outline="0" fieldPosition="0">
        <references count="1">
          <reference field="4294967294" count="1" selected="0">
            <x v="2"/>
          </reference>
        </references>
      </pivotArea>
    </chartFormat>
    <chartFormat chart="8"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dateBetween" evalOrder="-1" id="133" name="Tanggal">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EE2D74-EC55-480F-9615-9F84CB9836F4}"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27:D31" firstHeaderRow="0" firstDataRow="1" firstDataCol="1"/>
  <pivotFields count="12">
    <pivotField numFmtId="1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axis="axisRow" showAll="0">
      <items count="4">
        <item x="0"/>
        <item x="2"/>
        <item x="1"/>
        <item t="default"/>
      </items>
    </pivotField>
    <pivotField showAll="0">
      <items count="4">
        <item x="0"/>
        <item x="1"/>
        <item x="2"/>
        <item t="default"/>
      </items>
    </pivotField>
    <pivotField showAll="0">
      <items count="4">
        <item x="1"/>
        <item x="2"/>
        <item x="0"/>
        <item t="default"/>
      </items>
    </pivotField>
    <pivotField numFmtId="164" showAll="0"/>
    <pivotField numFmtId="164" showAll="0"/>
    <pivotField dataField="1" numFmtId="164" showAll="0"/>
    <pivotField numFmtId="164" showAll="0"/>
    <pivotField dataField="1" numFmtId="164"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Fields count="1">
    <field x="-2"/>
  </colFields>
  <colItems count="3">
    <i>
      <x/>
    </i>
    <i i="1">
      <x v="1"/>
    </i>
    <i i="2">
      <x v="2"/>
    </i>
  </colItems>
  <dataFields count="3">
    <dataField name="pembelian" fld="6" baseField="0" baseItem="0" numFmtId="164"/>
    <dataField name="Penjualan" fld="8" baseField="0" baseItem="0" numFmtId="164"/>
    <dataField name="Total Laba" fld="9" baseField="0" baseItem="0" numFmtId="164"/>
  </dataFields>
  <formats count="1">
    <format dxfId="11">
      <pivotArea outline="0" collapsedLevelsAreSubtotals="1" fieldPosition="0"/>
    </format>
  </formats>
  <chartFormats count="9">
    <chartFormat chart="5" format="0" series="1">
      <pivotArea type="data" outline="0" fieldPosition="0">
        <references count="1">
          <reference field="4294967294" count="1" selected="0">
            <x v="2"/>
          </reference>
        </references>
      </pivotArea>
    </chartFormat>
    <chartFormat chart="7" format="1" series="1">
      <pivotArea type="data" outline="0" fieldPosition="0">
        <references count="1">
          <reference field="4294967294" count="1" selected="0">
            <x v="2"/>
          </reference>
        </references>
      </pivotArea>
    </chartFormat>
    <chartFormat chart="8"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dateBetween" evalOrder="-1" id="133" name="Tanggal">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70C82D-6689-42D3-B00B-AF65D523E4DD}"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A10" firstHeaderRow="1" firstDataRow="1" firstDataCol="0"/>
  <pivotFields count="12">
    <pivotField numFmtId="1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showAll="0">
      <items count="4">
        <item x="0"/>
        <item x="2"/>
        <item x="1"/>
        <item t="default"/>
      </items>
    </pivotField>
    <pivotField showAll="0">
      <items count="4">
        <item x="0"/>
        <item x="1"/>
        <item x="2"/>
        <item t="default"/>
      </items>
    </pivotField>
    <pivotField showAll="0"/>
    <pivotField numFmtId="164" showAll="0"/>
    <pivotField numFmtId="164" showAll="0"/>
    <pivotField numFmtId="164" showAll="0"/>
    <pivotField numFmtId="164" showAll="0"/>
    <pivotField numFmtId="164"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Laba" fld="9" baseField="0" baseItem="0"/>
  </dataFields>
  <formats count="1">
    <format dxfId="12">
      <pivotArea outline="0" collapsedLevelsAreSubtotals="1" fieldPosition="0"/>
    </format>
  </formats>
  <pivotTableStyleInfo name="PivotStyleLight16" showRowHeaders="1" showColHeaders="1" showRowStripes="0" showColStripes="0" showLastColumn="1"/>
  <filters count="1">
    <filter fld="0" type="dateBetween" evalOrder="-1" id="133" name="Tanggal">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9F3F7E-F04D-43BF-85A9-FEA53B41A71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A7" firstHeaderRow="1" firstDataRow="1" firstDataCol="0"/>
  <pivotFields count="12">
    <pivotField numFmtId="1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showAll="0">
      <items count="4">
        <item x="0"/>
        <item x="2"/>
        <item x="1"/>
        <item t="default"/>
      </items>
    </pivotField>
    <pivotField showAll="0">
      <items count="4">
        <item x="0"/>
        <item x="1"/>
        <item x="2"/>
        <item t="default"/>
      </items>
    </pivotField>
    <pivotField showAll="0">
      <items count="4">
        <item x="1"/>
        <item x="2"/>
        <item x="0"/>
        <item t="default"/>
      </items>
    </pivotField>
    <pivotField numFmtId="164" showAll="0"/>
    <pivotField numFmtId="164" showAll="0"/>
    <pivotField numFmtId="164" showAll="0"/>
    <pivotField numFmtId="164" showAll="0"/>
    <pivotField dataField="1"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Penjualan" fld="8" baseField="0" baseItem="0"/>
  </dataFields>
  <formats count="1">
    <format dxfId="13">
      <pivotArea outline="0" collapsedLevelsAreSubtotals="1" fieldPosition="0"/>
    </format>
  </formats>
  <pivotTableStyleInfo name="PivotStyleLight16" showRowHeaders="1" showColHeaders="1" showRowStripes="0" showColStripes="0" showLastColumn="1"/>
  <filters count="1">
    <filter fld="0" type="dateBetween" evalOrder="-1" id="133" name="Tanggal">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E0FB22-E4A8-401C-B390-FF0993A7B66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2">
    <pivotField numFmtId="1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showAll="0">
      <items count="4">
        <item x="0"/>
        <item x="2"/>
        <item x="1"/>
        <item t="default"/>
      </items>
    </pivotField>
    <pivotField showAll="0">
      <items count="4">
        <item x="0"/>
        <item x="1"/>
        <item x="2"/>
        <item t="default"/>
      </items>
    </pivotField>
    <pivotField showAll="0">
      <items count="4">
        <item x="1"/>
        <item x="2"/>
        <item x="0"/>
        <item t="default"/>
      </items>
    </pivotField>
    <pivotField numFmtId="164" showAll="0"/>
    <pivotField numFmtId="164" showAll="0"/>
    <pivotField dataField="1" numFmtId="164" showAll="0"/>
    <pivotField numFmtId="164" showAll="0"/>
    <pivotField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pembelian" fld="6" baseField="0" baseItem="0"/>
  </dataFields>
  <formats count="1">
    <format dxfId="14">
      <pivotArea outline="0" collapsedLevelsAreSubtotals="1" fieldPosition="0"/>
    </format>
  </formats>
  <pivotTableStyleInfo name="PivotStyleLight16" showRowHeaders="1" showColHeaders="1" showRowStripes="0" showColStripes="0" showLastColumn="1"/>
  <filters count="1">
    <filter fld="0" type="dateBetween" evalOrder="-1" id="133" name="Tanggal">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39941C-FD3F-4906-9E57-17D4C3E4C482}"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87:B91" firstHeaderRow="1" firstDataRow="1" firstDataCol="1"/>
  <pivotFields count="12">
    <pivotField numFmtId="14"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t="default"/>
      </items>
    </pivotField>
    <pivotField axis="axisRow" showAll="0">
      <items count="4">
        <item x="0"/>
        <item x="2"/>
        <item x="1"/>
        <item t="default"/>
      </items>
    </pivotField>
    <pivotField showAll="0">
      <items count="4">
        <item x="0"/>
        <item x="1"/>
        <item x="2"/>
        <item t="default"/>
      </items>
    </pivotField>
    <pivotField showAll="0">
      <items count="4">
        <item x="1"/>
        <item x="2"/>
        <item x="0"/>
        <item t="default"/>
      </items>
    </pivotField>
    <pivotField numFmtId="164" showAll="0"/>
    <pivotField numFmtId="164" showAll="0"/>
    <pivotField numFmtId="164" showAll="0"/>
    <pivotField numFmtId="164" showAll="0"/>
    <pivotField numFmtId="164"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Total Laba" fld="9" baseField="0" baseItem="0" numFmtId="164"/>
  </dataFields>
  <formats count="1">
    <format dxfId="15">
      <pivotArea outline="0" collapsedLevelsAreSubtotals="1" fieldPosition="0"/>
    </format>
  </formats>
  <chartFormats count="12">
    <chartFormat chart="5"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1" count="1" selected="0">
            <x v="0"/>
          </reference>
        </references>
      </pivotArea>
    </chartFormat>
    <chartFormat chart="16" format="3">
      <pivotArea type="data" outline="0" fieldPosition="0">
        <references count="2">
          <reference field="4294967294" count="1" selected="0">
            <x v="0"/>
          </reference>
          <reference field="1" count="1" selected="0">
            <x v="1"/>
          </reference>
        </references>
      </pivotArea>
    </chartFormat>
    <chartFormat chart="16" format="4">
      <pivotArea type="data" outline="0" fieldPosition="0">
        <references count="2">
          <reference field="4294967294" count="1" selected="0">
            <x v="0"/>
          </reference>
          <reference field="1" count="1" selected="0">
            <x v="2"/>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1" count="1" selected="0">
            <x v="0"/>
          </reference>
        </references>
      </pivotArea>
    </chartFormat>
    <chartFormat chart="17" format="7">
      <pivotArea type="data" outline="0" fieldPosition="0">
        <references count="2">
          <reference field="4294967294" count="1" selected="0">
            <x v="0"/>
          </reference>
          <reference field="1" count="1" selected="0">
            <x v="1"/>
          </reference>
        </references>
      </pivotArea>
    </chartFormat>
    <chartFormat chart="17"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filters count="1">
    <filter fld="0" type="dateBetween" evalOrder="-1" id="133" name="Tanggal">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931B4B0B-68E5-4FE8-8CA6-04B87F613644}" sourceName="Sales">
  <pivotTables>
    <pivotTable tabId="7" name="PivotTable4"/>
    <pivotTable tabId="7" name="PivotTable1"/>
    <pivotTable tabId="7" name="PivotTable2"/>
    <pivotTable tabId="7" name="PivotTable3"/>
    <pivotTable tabId="7" name="PivotTable5"/>
    <pivotTable tabId="7" name="PivotTable6"/>
    <pivotTable tabId="7" name="PivotTable7"/>
    <pivotTable tabId="7" name="PivotTable11"/>
  </pivotTables>
  <data>
    <tabular pivotCacheId="110774597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mber_Material" xr10:uid="{7D68253C-5743-43AB-A3B6-C48286A2C4BB}" sourceName="Sumber Material">
  <pivotTables>
    <pivotTable tabId="7" name="PivotTable4"/>
    <pivotTable tabId="7" name="PivotTable1"/>
    <pivotTable tabId="7" name="PivotTable2"/>
    <pivotTable tabId="7" name="PivotTable3"/>
    <pivotTable tabId="7" name="PivotTable5"/>
    <pivotTable tabId="7" name="PivotTable6"/>
    <pivotTable tabId="7" name="PivotTable7"/>
    <pivotTable tabId="7" name="PivotTable11"/>
  </pivotTables>
  <data>
    <tabular pivotCacheId="110774597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 xr10:uid="{75C77E04-6334-4F28-94E2-464FAA3568F4}" sourceName="Material">
  <pivotTables>
    <pivotTable tabId="7" name="PivotTable4"/>
    <pivotTable tabId="7" name="PivotTable1"/>
    <pivotTable tabId="7" name="PivotTable2"/>
    <pivotTable tabId="7" name="PivotTable5"/>
    <pivotTable tabId="7" name="PivotTable6"/>
    <pivotTable tabId="7" name="PivotTable7"/>
    <pivotTable tabId="7" name="PivotTable11"/>
  </pivotTables>
  <data>
    <tabular pivotCacheId="110774597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xr10:uid="{A6F89442-51F6-45DD-B987-2738359AC4EE}" cache="Slicer_Sales" caption="Sales" style="SlicerStyleLight5" rowHeight="241300"/>
  <slicer name="Sumber Material" xr10:uid="{7B3D9A16-7F5F-4F2A-A06A-6E117A0ABDED}" cache="Slicer_Sumber_Material" caption="Sumber Material" style="SlicerStyleLight5" rowHeight="241300"/>
  <slicer name="Material" xr10:uid="{B994F553-2DC2-45D8-A575-117737C3CF45}" cache="Slicer_Material" caption="Material"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1A057B-DED0-44C8-9877-1E20E777320B}" name="Table1" displayName="Table1" ref="A1:J213" totalsRowShown="0" dataDxfId="7" dataCellStyle="Comma [0]">
  <autoFilter ref="A1:J213" xr:uid="{4C1A057B-DED0-44C8-9877-1E20E777320B}"/>
  <tableColumns count="10">
    <tableColumn id="1" xr3:uid="{19115AC1-9A9F-457F-A088-4CCAED9BF1E7}" name="Tanggal" dataDxfId="6"/>
    <tableColumn id="2" xr3:uid="{C0D137B7-7C92-4A82-9570-C569613D7B69}" name="Sales"/>
    <tableColumn id="3" xr3:uid="{0A934D55-B92B-426B-BD86-F3148F2EC136}" name="Sumber Material"/>
    <tableColumn id="4" xr3:uid="{B65ACCE1-5EF2-4E57-B092-BDE388460DC0}" name="Material"/>
    <tableColumn id="5" xr3:uid="{000F0282-CD50-465F-BAF4-55655024DD96}" name="Volume" dataDxfId="5" dataCellStyle="Comma [0]"/>
    <tableColumn id="6" xr3:uid="{B61377AD-E488-4055-927D-3DEF08A48CF8}" name="Harga satuan pembelian" dataDxfId="4" dataCellStyle="Comma [0]"/>
    <tableColumn id="7" xr3:uid="{73CC9BBF-97EB-47D3-8B4C-1EE2240CDEAF}" name="Total pembelian" dataDxfId="3" dataCellStyle="Comma [0]"/>
    <tableColumn id="8" xr3:uid="{151A2DBD-342A-4B75-887C-98BA201B821C}" name="Harga satuan penjualan" dataDxfId="2" dataCellStyle="Comma [0]"/>
    <tableColumn id="9" xr3:uid="{83B4E513-4800-4C95-B241-A831FEA87E51}" name="Total Penjualan" dataDxfId="1" dataCellStyle="Comma [0]"/>
    <tableColumn id="10" xr3:uid="{55E3517E-BDAF-4649-B25A-06633DD84CE8}" name="Laba" dataDxfId="0" dataCellStyle="Comma [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anggal" xr10:uid="{247EFEE0-327A-4CD6-B779-7DC36FB520A4}" sourceName="Tanggal">
  <pivotTables>
    <pivotTable tabId="7" name="PivotTable4"/>
    <pivotTable tabId="7" name="PivotTable1"/>
    <pivotTable tabId="7" name="PivotTable2"/>
    <pivotTable tabId="7" name="PivotTable3"/>
    <pivotTable tabId="7" name="PivotTable5"/>
    <pivotTable tabId="7" name="PivotTable6"/>
    <pivotTable tabId="7" name="PivotTable7"/>
    <pivotTable tabId="7" name="PivotTable11"/>
  </pivotTables>
  <state minimalRefreshVersion="6" lastRefreshVersion="6" pivotCacheId="1107745978" filterType="dateBetween">
    <selection startDate="2025-01-01T00:00:00" endDate="2025-12-31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anggal" xr10:uid="{3D1A5E4B-7B82-49D1-9A12-637FDBFBE821}" cache="NativeTimeline_Tanggal" caption="Tanggal" level="2" selectionLevel="0" scrollPosition="2025-04-07T00:00:00" style="TimeSlicerStyleLight5"/>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B3154-B56D-4FD3-8FD5-EF2F035FD7B2}">
  <dimension ref="B1:T7"/>
  <sheetViews>
    <sheetView tabSelected="1" zoomScale="75" zoomScaleNormal="75" workbookViewId="0">
      <selection activeCell="B7" sqref="B7:T7"/>
    </sheetView>
  </sheetViews>
  <sheetFormatPr defaultRowHeight="15" x14ac:dyDescent="0.25"/>
  <cols>
    <col min="3" max="3" width="22" customWidth="1"/>
    <col min="4" max="5" width="9.140625" customWidth="1"/>
    <col min="8" max="8" width="24.85546875" customWidth="1"/>
    <col min="10" max="10" width="9.140625" customWidth="1"/>
    <col min="11" max="11" width="23.140625" customWidth="1"/>
    <col min="13" max="13" width="25.28515625" customWidth="1"/>
    <col min="15" max="18" width="9.140625" customWidth="1"/>
    <col min="19" max="19" width="23" customWidth="1"/>
  </cols>
  <sheetData>
    <row r="1" spans="2:20" x14ac:dyDescent="0.25">
      <c r="B1" s="4"/>
      <c r="C1" s="4"/>
      <c r="D1" s="4"/>
      <c r="E1" s="4"/>
      <c r="F1" s="4"/>
      <c r="G1" s="4"/>
      <c r="H1" s="4"/>
      <c r="I1" s="4"/>
      <c r="J1" s="4"/>
      <c r="K1" s="4"/>
      <c r="L1" s="4"/>
      <c r="M1" s="4"/>
      <c r="N1" s="4"/>
      <c r="O1" s="4"/>
      <c r="P1" s="4"/>
      <c r="Q1" s="4"/>
      <c r="R1" s="4"/>
      <c r="S1" s="4"/>
      <c r="T1" s="4"/>
    </row>
    <row r="2" spans="2:20" ht="92.25" x14ac:dyDescent="1.35">
      <c r="B2" s="10" t="s">
        <v>22</v>
      </c>
      <c r="C2" s="10"/>
      <c r="D2" s="10"/>
      <c r="E2" s="10"/>
      <c r="F2" s="10"/>
      <c r="G2" s="10"/>
      <c r="H2" s="10"/>
      <c r="I2" s="10"/>
      <c r="J2" s="10"/>
      <c r="K2" s="10"/>
      <c r="L2" s="10"/>
      <c r="M2" s="10"/>
      <c r="N2" s="10"/>
      <c r="O2" s="10"/>
      <c r="P2" s="10"/>
      <c r="Q2" s="10"/>
      <c r="R2" s="10"/>
      <c r="S2" s="10"/>
      <c r="T2" s="10"/>
    </row>
    <row r="3" spans="2:20" ht="15.75" thickBot="1" x14ac:dyDescent="0.3"/>
    <row r="4" spans="2:20" x14ac:dyDescent="0.25">
      <c r="C4" s="9" t="s">
        <v>23</v>
      </c>
      <c r="H4" s="7"/>
      <c r="K4" s="9" t="s">
        <v>24</v>
      </c>
      <c r="M4" s="7"/>
      <c r="S4" s="9" t="s">
        <v>25</v>
      </c>
    </row>
    <row r="5" spans="2:20" ht="15.75" thickBot="1" x14ac:dyDescent="0.3">
      <c r="C5" s="5">
        <f>GETPIVOTDATA("Total pembelian",Sheet2!$A$3)</f>
        <v>2061800000</v>
      </c>
      <c r="H5" s="8"/>
      <c r="K5" s="5">
        <f>GETPIVOTDATA("Total Penjualan",Sheet2!$A$6)</f>
        <v>2937900000</v>
      </c>
      <c r="M5" s="8"/>
      <c r="S5" s="5">
        <f>GETPIVOTDATA("Laba",Sheet2!$A$9)</f>
        <v>876100000</v>
      </c>
    </row>
    <row r="7" spans="2:20" x14ac:dyDescent="0.25">
      <c r="B7" s="4"/>
      <c r="C7" s="4"/>
      <c r="D7" s="4"/>
      <c r="E7" s="4"/>
      <c r="F7" s="4"/>
      <c r="G7" s="4"/>
      <c r="H7" s="4"/>
      <c r="I7" s="4"/>
      <c r="J7" s="4"/>
      <c r="K7" s="4"/>
      <c r="L7" s="4"/>
      <c r="M7" s="4"/>
      <c r="N7" s="4"/>
      <c r="O7" s="4"/>
      <c r="P7" s="4"/>
      <c r="Q7" s="4"/>
      <c r="R7" s="4"/>
      <c r="S7" s="4"/>
      <c r="T7" s="4"/>
    </row>
  </sheetData>
  <mergeCells count="1">
    <mergeCell ref="B2:T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ECD37-0612-4629-BF1C-6CAB39DEE57C}">
  <dimension ref="A3:D91"/>
  <sheetViews>
    <sheetView topLeftCell="A71" zoomScaleNormal="100" workbookViewId="0">
      <selection activeCell="A87" sqref="A87:D91"/>
    </sheetView>
  </sheetViews>
  <sheetFormatPr defaultRowHeight="15" x14ac:dyDescent="0.25"/>
  <cols>
    <col min="1" max="1" width="13.140625" bestFit="1" customWidth="1"/>
    <col min="2" max="2" width="10" bestFit="1" customWidth="1"/>
    <col min="3" max="3" width="11" bestFit="1" customWidth="1"/>
    <col min="4" max="4" width="10" bestFit="1" customWidth="1"/>
  </cols>
  <sheetData>
    <row r="3" spans="1:2" x14ac:dyDescent="0.25">
      <c r="A3" t="s">
        <v>19</v>
      </c>
    </row>
    <row r="4" spans="1:2" x14ac:dyDescent="0.25">
      <c r="A4">
        <v>2061800000</v>
      </c>
    </row>
    <row r="6" spans="1:2" x14ac:dyDescent="0.25">
      <c r="A6" t="s">
        <v>20</v>
      </c>
    </row>
    <row r="7" spans="1:2" x14ac:dyDescent="0.25">
      <c r="A7">
        <v>2937900000</v>
      </c>
    </row>
    <row r="9" spans="1:2" x14ac:dyDescent="0.25">
      <c r="A9" t="s">
        <v>21</v>
      </c>
    </row>
    <row r="10" spans="1:2" x14ac:dyDescent="0.25">
      <c r="A10">
        <v>876100000</v>
      </c>
    </row>
    <row r="13" spans="1:2" x14ac:dyDescent="0.25">
      <c r="A13" s="3" t="s">
        <v>26</v>
      </c>
      <c r="B13" t="s">
        <v>28</v>
      </c>
    </row>
    <row r="14" spans="1:2" x14ac:dyDescent="0.25">
      <c r="A14" s="6" t="s">
        <v>10</v>
      </c>
      <c r="B14">
        <v>4650</v>
      </c>
    </row>
    <row r="15" spans="1:2" x14ac:dyDescent="0.25">
      <c r="A15" s="6" t="s">
        <v>2</v>
      </c>
      <c r="B15">
        <v>4390</v>
      </c>
    </row>
    <row r="16" spans="1:2" x14ac:dyDescent="0.25">
      <c r="A16" s="6" t="s">
        <v>0</v>
      </c>
      <c r="B16">
        <v>4620</v>
      </c>
    </row>
    <row r="17" spans="1:4" x14ac:dyDescent="0.25">
      <c r="A17" s="6" t="s">
        <v>27</v>
      </c>
      <c r="B17">
        <v>13660</v>
      </c>
    </row>
    <row r="27" spans="1:4" x14ac:dyDescent="0.25">
      <c r="A27" s="3" t="s">
        <v>26</v>
      </c>
      <c r="B27" t="s">
        <v>29</v>
      </c>
      <c r="C27" t="s">
        <v>30</v>
      </c>
      <c r="D27" t="s">
        <v>31</v>
      </c>
    </row>
    <row r="28" spans="1:4" x14ac:dyDescent="0.25">
      <c r="A28" s="6" t="s">
        <v>11</v>
      </c>
      <c r="B28">
        <v>1404050000</v>
      </c>
      <c r="C28">
        <v>2040900000</v>
      </c>
      <c r="D28">
        <v>636850000</v>
      </c>
    </row>
    <row r="29" spans="1:4" x14ac:dyDescent="0.25">
      <c r="A29" s="6" t="s">
        <v>14</v>
      </c>
      <c r="B29">
        <v>406350000</v>
      </c>
      <c r="C29">
        <v>570750000</v>
      </c>
      <c r="D29">
        <v>164400000</v>
      </c>
    </row>
    <row r="30" spans="1:4" x14ac:dyDescent="0.25">
      <c r="A30" s="6" t="s">
        <v>13</v>
      </c>
      <c r="B30">
        <v>251400000</v>
      </c>
      <c r="C30">
        <v>326250000</v>
      </c>
      <c r="D30">
        <v>74850000</v>
      </c>
    </row>
    <row r="31" spans="1:4" x14ac:dyDescent="0.25">
      <c r="A31" s="6" t="s">
        <v>27</v>
      </c>
      <c r="B31">
        <v>2061800000</v>
      </c>
      <c r="C31">
        <v>2937900000</v>
      </c>
      <c r="D31">
        <v>876100000</v>
      </c>
    </row>
    <row r="44" spans="1:4" x14ac:dyDescent="0.25">
      <c r="A44" s="3" t="s">
        <v>26</v>
      </c>
      <c r="B44" t="s">
        <v>29</v>
      </c>
      <c r="C44" t="s">
        <v>30</v>
      </c>
      <c r="D44" t="s">
        <v>31</v>
      </c>
    </row>
    <row r="45" spans="1:4" x14ac:dyDescent="0.25">
      <c r="A45" s="6" t="s">
        <v>10</v>
      </c>
      <c r="B45">
        <v>703950000</v>
      </c>
      <c r="C45">
        <v>976500000</v>
      </c>
      <c r="D45">
        <v>272550000</v>
      </c>
    </row>
    <row r="46" spans="1:4" x14ac:dyDescent="0.25">
      <c r="A46" s="6" t="s">
        <v>2</v>
      </c>
      <c r="B46">
        <v>643450000</v>
      </c>
      <c r="C46">
        <v>921900000</v>
      </c>
      <c r="D46">
        <v>278450000</v>
      </c>
    </row>
    <row r="47" spans="1:4" x14ac:dyDescent="0.25">
      <c r="A47" s="6" t="s">
        <v>0</v>
      </c>
      <c r="B47">
        <v>714400000</v>
      </c>
      <c r="C47">
        <v>1039500000</v>
      </c>
      <c r="D47">
        <v>325100000</v>
      </c>
    </row>
    <row r="48" spans="1:4" x14ac:dyDescent="0.25">
      <c r="A48" s="6" t="s">
        <v>27</v>
      </c>
      <c r="B48">
        <v>2061800000</v>
      </c>
      <c r="C48">
        <v>2937900000</v>
      </c>
      <c r="D48">
        <v>876100000</v>
      </c>
    </row>
    <row r="67" spans="1:2" x14ac:dyDescent="0.25">
      <c r="A67" s="3" t="s">
        <v>26</v>
      </c>
      <c r="B67" t="s">
        <v>31</v>
      </c>
    </row>
    <row r="68" spans="1:2" x14ac:dyDescent="0.25">
      <c r="A68" s="6" t="s">
        <v>32</v>
      </c>
      <c r="B68">
        <v>133850000</v>
      </c>
    </row>
    <row r="69" spans="1:2" x14ac:dyDescent="0.25">
      <c r="A69" s="6" t="s">
        <v>33</v>
      </c>
      <c r="B69">
        <v>102800000</v>
      </c>
    </row>
    <row r="70" spans="1:2" x14ac:dyDescent="0.25">
      <c r="A70" s="6" t="s">
        <v>34</v>
      </c>
      <c r="B70">
        <v>118250000</v>
      </c>
    </row>
    <row r="71" spans="1:2" x14ac:dyDescent="0.25">
      <c r="A71" s="6" t="s">
        <v>35</v>
      </c>
      <c r="B71">
        <v>132950000</v>
      </c>
    </row>
    <row r="72" spans="1:2" x14ac:dyDescent="0.25">
      <c r="A72" s="6" t="s">
        <v>36</v>
      </c>
      <c r="B72">
        <v>120400000</v>
      </c>
    </row>
    <row r="73" spans="1:2" x14ac:dyDescent="0.25">
      <c r="A73" s="6" t="s">
        <v>37</v>
      </c>
      <c r="B73">
        <v>148750000</v>
      </c>
    </row>
    <row r="74" spans="1:2" x14ac:dyDescent="0.25">
      <c r="A74" s="6" t="s">
        <v>38</v>
      </c>
      <c r="B74">
        <v>119100000</v>
      </c>
    </row>
    <row r="75" spans="1:2" x14ac:dyDescent="0.25">
      <c r="A75" s="6" t="s">
        <v>27</v>
      </c>
      <c r="B75">
        <v>876100000</v>
      </c>
    </row>
    <row r="87" spans="1:2" x14ac:dyDescent="0.25">
      <c r="A87" s="3" t="s">
        <v>26</v>
      </c>
      <c r="B87" t="s">
        <v>31</v>
      </c>
    </row>
    <row r="88" spans="1:2" x14ac:dyDescent="0.25">
      <c r="A88" s="6" t="s">
        <v>11</v>
      </c>
      <c r="B88">
        <v>636850000</v>
      </c>
    </row>
    <row r="89" spans="1:2" x14ac:dyDescent="0.25">
      <c r="A89" s="6" t="s">
        <v>14</v>
      </c>
      <c r="B89">
        <v>164400000</v>
      </c>
    </row>
    <row r="90" spans="1:2" x14ac:dyDescent="0.25">
      <c r="A90" s="6" t="s">
        <v>13</v>
      </c>
      <c r="B90">
        <v>74850000</v>
      </c>
    </row>
    <row r="91" spans="1:2" x14ac:dyDescent="0.25">
      <c r="A91" s="6" t="s">
        <v>27</v>
      </c>
      <c r="B91">
        <v>876100000</v>
      </c>
    </row>
  </sheetData>
  <pageMargins left="0.7" right="0.7" top="0.75" bottom="0.75" header="0.3" footer="0.3"/>
  <pageSetup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C64D-1498-4A30-8A11-68156AA6C7AE}">
  <dimension ref="A1:J213"/>
  <sheetViews>
    <sheetView topLeftCell="A2" workbookViewId="0">
      <selection sqref="A1:J213"/>
    </sheetView>
  </sheetViews>
  <sheetFormatPr defaultRowHeight="15" x14ac:dyDescent="0.25"/>
  <cols>
    <col min="1" max="1" width="10.5703125" style="2" bestFit="1" customWidth="1"/>
    <col min="2" max="2" width="7.7109375" customWidth="1"/>
    <col min="3" max="3" width="18" customWidth="1"/>
    <col min="4" max="4" width="10.7109375" customWidth="1"/>
    <col min="5" max="5" width="10.140625" style="1" customWidth="1"/>
    <col min="6" max="6" width="24.42578125" style="1" customWidth="1"/>
    <col min="7" max="7" width="17.5703125" style="1" customWidth="1"/>
    <col min="8" max="8" width="23.7109375" style="1" customWidth="1"/>
    <col min="9" max="9" width="16.85546875" style="1" customWidth="1"/>
    <col min="10" max="10" width="12.28515625" style="1" bestFit="1" customWidth="1"/>
  </cols>
  <sheetData>
    <row r="1" spans="1:10" x14ac:dyDescent="0.25">
      <c r="A1" t="s">
        <v>3</v>
      </c>
      <c r="B1" t="s">
        <v>17</v>
      </c>
      <c r="C1" t="s">
        <v>18</v>
      </c>
      <c r="D1" t="s">
        <v>4</v>
      </c>
      <c r="E1" t="s">
        <v>1</v>
      </c>
      <c r="F1" t="s">
        <v>6</v>
      </c>
      <c r="G1" t="s">
        <v>5</v>
      </c>
      <c r="H1" t="s">
        <v>7</v>
      </c>
      <c r="I1" t="s">
        <v>8</v>
      </c>
      <c r="J1" t="s">
        <v>9</v>
      </c>
    </row>
    <row r="2" spans="1:10" x14ac:dyDescent="0.25">
      <c r="A2" s="2">
        <v>45658</v>
      </c>
      <c r="B2" t="s">
        <v>11</v>
      </c>
      <c r="C2" t="s">
        <v>12</v>
      </c>
      <c r="D2" t="s">
        <v>0</v>
      </c>
      <c r="E2" s="1">
        <v>80</v>
      </c>
      <c r="F2" s="1">
        <v>195000</v>
      </c>
      <c r="G2" s="1">
        <v>15600000</v>
      </c>
      <c r="H2" s="1">
        <v>225000</v>
      </c>
      <c r="I2" s="1">
        <v>18000000</v>
      </c>
      <c r="J2" s="1">
        <v>2400000</v>
      </c>
    </row>
    <row r="3" spans="1:10" x14ac:dyDescent="0.25">
      <c r="A3" s="2">
        <v>45659</v>
      </c>
      <c r="B3" t="s">
        <v>11</v>
      </c>
      <c r="C3" t="s">
        <v>12</v>
      </c>
      <c r="D3" t="s">
        <v>10</v>
      </c>
      <c r="E3" s="1">
        <v>50</v>
      </c>
      <c r="F3" s="1">
        <v>115000</v>
      </c>
      <c r="G3" s="1">
        <v>5750000</v>
      </c>
      <c r="H3" s="1">
        <v>210000</v>
      </c>
      <c r="I3" s="1">
        <v>10500000</v>
      </c>
      <c r="J3" s="1">
        <v>4750000</v>
      </c>
    </row>
    <row r="4" spans="1:10" x14ac:dyDescent="0.25">
      <c r="A4" s="2">
        <v>45660</v>
      </c>
      <c r="B4" t="s">
        <v>11</v>
      </c>
      <c r="C4" t="s">
        <v>12</v>
      </c>
      <c r="D4" t="s">
        <v>2</v>
      </c>
      <c r="E4" s="1">
        <v>60</v>
      </c>
      <c r="F4" s="1">
        <v>135000</v>
      </c>
      <c r="G4" s="1">
        <v>8100000</v>
      </c>
      <c r="H4" s="1">
        <v>210000</v>
      </c>
      <c r="I4" s="1">
        <v>12600000</v>
      </c>
      <c r="J4" s="1">
        <v>4500000</v>
      </c>
    </row>
    <row r="5" spans="1:10" x14ac:dyDescent="0.25">
      <c r="A5" s="2">
        <v>45661</v>
      </c>
      <c r="B5" t="s">
        <v>11</v>
      </c>
      <c r="C5" t="s">
        <v>12</v>
      </c>
      <c r="D5" t="s">
        <v>0</v>
      </c>
      <c r="E5" s="1">
        <v>50</v>
      </c>
      <c r="F5" s="1">
        <v>145000</v>
      </c>
      <c r="G5" s="1">
        <v>7250000</v>
      </c>
      <c r="H5" s="1">
        <v>225000</v>
      </c>
      <c r="I5" s="1">
        <v>11250000</v>
      </c>
      <c r="J5" s="1">
        <v>4000000</v>
      </c>
    </row>
    <row r="6" spans="1:10" x14ac:dyDescent="0.25">
      <c r="A6" s="2">
        <v>45662</v>
      </c>
      <c r="B6" t="s">
        <v>11</v>
      </c>
      <c r="C6" t="s">
        <v>12</v>
      </c>
      <c r="D6" t="s">
        <v>10</v>
      </c>
      <c r="E6" s="1">
        <v>80</v>
      </c>
      <c r="F6" s="1">
        <v>155000</v>
      </c>
      <c r="G6" s="1">
        <v>12400000</v>
      </c>
      <c r="H6" s="1">
        <v>210000</v>
      </c>
      <c r="I6" s="1">
        <v>16800000</v>
      </c>
      <c r="J6" s="1">
        <v>4400000</v>
      </c>
    </row>
    <row r="7" spans="1:10" x14ac:dyDescent="0.25">
      <c r="A7" s="2">
        <v>45663</v>
      </c>
      <c r="B7" t="s">
        <v>11</v>
      </c>
      <c r="C7" t="s">
        <v>12</v>
      </c>
      <c r="D7" t="s">
        <v>2</v>
      </c>
      <c r="E7" s="1">
        <v>80</v>
      </c>
      <c r="F7" s="1">
        <v>85000</v>
      </c>
      <c r="G7" s="1">
        <v>6800000</v>
      </c>
      <c r="H7" s="1">
        <v>210000</v>
      </c>
      <c r="I7" s="1">
        <v>16800000</v>
      </c>
      <c r="J7" s="1">
        <v>10000000</v>
      </c>
    </row>
    <row r="8" spans="1:10" x14ac:dyDescent="0.25">
      <c r="A8" s="2">
        <v>45664</v>
      </c>
      <c r="B8" t="s">
        <v>11</v>
      </c>
      <c r="C8" t="s">
        <v>12</v>
      </c>
      <c r="D8" t="s">
        <v>0</v>
      </c>
      <c r="E8" s="1">
        <v>60</v>
      </c>
      <c r="F8" s="1">
        <v>165000</v>
      </c>
      <c r="G8" s="1">
        <v>9900000</v>
      </c>
      <c r="H8" s="1">
        <v>225000</v>
      </c>
      <c r="I8" s="1">
        <v>13500000</v>
      </c>
      <c r="J8" s="1">
        <v>3600000</v>
      </c>
    </row>
    <row r="9" spans="1:10" x14ac:dyDescent="0.25">
      <c r="A9" s="2">
        <v>45665</v>
      </c>
      <c r="B9" t="s">
        <v>13</v>
      </c>
      <c r="C9" t="s">
        <v>12</v>
      </c>
      <c r="D9" t="s">
        <v>10</v>
      </c>
      <c r="E9" s="1">
        <v>40</v>
      </c>
      <c r="F9" s="1">
        <v>145000</v>
      </c>
      <c r="G9" s="1">
        <v>5800000</v>
      </c>
      <c r="H9" s="1">
        <v>210000</v>
      </c>
      <c r="I9" s="1">
        <v>8400000</v>
      </c>
      <c r="J9" s="1">
        <v>2600000</v>
      </c>
    </row>
    <row r="10" spans="1:10" x14ac:dyDescent="0.25">
      <c r="A10" s="2">
        <v>45666</v>
      </c>
      <c r="B10" t="s">
        <v>14</v>
      </c>
      <c r="C10" t="s">
        <v>12</v>
      </c>
      <c r="D10" t="s">
        <v>2</v>
      </c>
      <c r="E10" s="1">
        <v>40</v>
      </c>
      <c r="F10" s="1">
        <v>115000</v>
      </c>
      <c r="G10" s="1">
        <v>4600000</v>
      </c>
      <c r="H10" s="1">
        <v>210000</v>
      </c>
      <c r="I10" s="1">
        <v>8400000</v>
      </c>
      <c r="J10" s="1">
        <v>3800000</v>
      </c>
    </row>
    <row r="11" spans="1:10" x14ac:dyDescent="0.25">
      <c r="A11" s="2">
        <v>45667</v>
      </c>
      <c r="B11" t="s">
        <v>14</v>
      </c>
      <c r="C11" t="s">
        <v>12</v>
      </c>
      <c r="D11" t="s">
        <v>0</v>
      </c>
      <c r="E11" s="1">
        <v>80</v>
      </c>
      <c r="F11" s="1">
        <v>95000</v>
      </c>
      <c r="G11" s="1">
        <v>7600000</v>
      </c>
      <c r="H11" s="1">
        <v>225000</v>
      </c>
      <c r="I11" s="1">
        <v>18000000</v>
      </c>
      <c r="J11" s="1">
        <v>10400000</v>
      </c>
    </row>
    <row r="12" spans="1:10" x14ac:dyDescent="0.25">
      <c r="A12" s="2">
        <v>45668</v>
      </c>
      <c r="B12" t="s">
        <v>11</v>
      </c>
      <c r="C12" t="s">
        <v>12</v>
      </c>
      <c r="D12" t="s">
        <v>10</v>
      </c>
      <c r="E12" s="1">
        <v>80</v>
      </c>
      <c r="F12" s="1">
        <v>95000</v>
      </c>
      <c r="G12" s="1">
        <v>7600000</v>
      </c>
      <c r="H12" s="1">
        <v>210000</v>
      </c>
      <c r="I12" s="1">
        <v>16800000</v>
      </c>
      <c r="J12" s="1">
        <v>9200000</v>
      </c>
    </row>
    <row r="13" spans="1:10" x14ac:dyDescent="0.25">
      <c r="A13" s="2">
        <v>45669</v>
      </c>
      <c r="B13" t="s">
        <v>11</v>
      </c>
      <c r="C13" t="s">
        <v>12</v>
      </c>
      <c r="D13" t="s">
        <v>2</v>
      </c>
      <c r="E13" s="1">
        <v>70</v>
      </c>
      <c r="F13" s="1">
        <v>125000</v>
      </c>
      <c r="G13" s="1">
        <v>8750000</v>
      </c>
      <c r="H13" s="1">
        <v>210000</v>
      </c>
      <c r="I13" s="1">
        <v>14700000</v>
      </c>
      <c r="J13" s="1">
        <v>5950000</v>
      </c>
    </row>
    <row r="14" spans="1:10" x14ac:dyDescent="0.25">
      <c r="A14" s="2">
        <v>45670</v>
      </c>
      <c r="B14" t="s">
        <v>11</v>
      </c>
      <c r="C14" t="s">
        <v>15</v>
      </c>
      <c r="D14" t="s">
        <v>0</v>
      </c>
      <c r="E14" s="1">
        <v>50</v>
      </c>
      <c r="F14" s="1">
        <v>185000</v>
      </c>
      <c r="G14" s="1">
        <v>9250000</v>
      </c>
      <c r="H14" s="1">
        <v>225000</v>
      </c>
      <c r="I14" s="1">
        <v>11250000</v>
      </c>
      <c r="J14" s="1">
        <v>2000000</v>
      </c>
    </row>
    <row r="15" spans="1:10" x14ac:dyDescent="0.25">
      <c r="A15" s="2">
        <v>45671</v>
      </c>
      <c r="B15" t="s">
        <v>11</v>
      </c>
      <c r="C15" t="s">
        <v>15</v>
      </c>
      <c r="D15" t="s">
        <v>10</v>
      </c>
      <c r="E15" s="1">
        <v>50</v>
      </c>
      <c r="F15" s="1">
        <v>155000</v>
      </c>
      <c r="G15" s="1">
        <v>7750000</v>
      </c>
      <c r="H15" s="1">
        <v>210000</v>
      </c>
      <c r="I15" s="1">
        <v>10500000</v>
      </c>
      <c r="J15" s="1">
        <v>2750000</v>
      </c>
    </row>
    <row r="16" spans="1:10" x14ac:dyDescent="0.25">
      <c r="A16" s="2">
        <v>45672</v>
      </c>
      <c r="B16" t="s">
        <v>11</v>
      </c>
      <c r="C16" t="s">
        <v>15</v>
      </c>
      <c r="D16" t="s">
        <v>2</v>
      </c>
      <c r="E16" s="1">
        <v>80</v>
      </c>
      <c r="F16" s="1">
        <v>105000</v>
      </c>
      <c r="G16" s="1">
        <v>8400000</v>
      </c>
      <c r="H16" s="1">
        <v>210000</v>
      </c>
      <c r="I16" s="1">
        <v>16800000</v>
      </c>
      <c r="J16" s="1">
        <v>8400000</v>
      </c>
    </row>
    <row r="17" spans="1:10" x14ac:dyDescent="0.25">
      <c r="A17" s="2">
        <v>45673</v>
      </c>
      <c r="B17" t="s">
        <v>11</v>
      </c>
      <c r="C17" t="s">
        <v>15</v>
      </c>
      <c r="D17" t="s">
        <v>0</v>
      </c>
      <c r="E17" s="1">
        <v>50</v>
      </c>
      <c r="F17" s="1">
        <v>195000</v>
      </c>
      <c r="G17" s="1">
        <v>9750000</v>
      </c>
      <c r="H17" s="1">
        <v>225000</v>
      </c>
      <c r="I17" s="1">
        <v>11250000</v>
      </c>
      <c r="J17" s="1">
        <v>1500000</v>
      </c>
    </row>
    <row r="18" spans="1:10" x14ac:dyDescent="0.25">
      <c r="A18" s="2">
        <v>45674</v>
      </c>
      <c r="B18" t="s">
        <v>11</v>
      </c>
      <c r="C18" t="s">
        <v>16</v>
      </c>
      <c r="D18" t="s">
        <v>10</v>
      </c>
      <c r="E18" s="1">
        <v>60</v>
      </c>
      <c r="F18" s="1">
        <v>125000</v>
      </c>
      <c r="G18" s="1">
        <v>7500000</v>
      </c>
      <c r="H18" s="1">
        <v>210000</v>
      </c>
      <c r="I18" s="1">
        <v>12600000</v>
      </c>
      <c r="J18" s="1">
        <v>5100000</v>
      </c>
    </row>
    <row r="19" spans="1:10" x14ac:dyDescent="0.25">
      <c r="A19" s="2">
        <v>45675</v>
      </c>
      <c r="B19" t="s">
        <v>13</v>
      </c>
      <c r="C19" t="s">
        <v>16</v>
      </c>
      <c r="D19" t="s">
        <v>2</v>
      </c>
      <c r="E19" s="1">
        <v>80</v>
      </c>
      <c r="F19" s="1">
        <v>185000</v>
      </c>
      <c r="G19" s="1">
        <v>14800000</v>
      </c>
      <c r="H19" s="1">
        <v>210000</v>
      </c>
      <c r="I19" s="1">
        <v>16800000</v>
      </c>
      <c r="J19" s="1">
        <v>2000000</v>
      </c>
    </row>
    <row r="20" spans="1:10" x14ac:dyDescent="0.25">
      <c r="A20" s="2">
        <v>45676</v>
      </c>
      <c r="B20" t="s">
        <v>14</v>
      </c>
      <c r="C20" t="s">
        <v>16</v>
      </c>
      <c r="D20" t="s">
        <v>0</v>
      </c>
      <c r="E20" s="1">
        <v>60</v>
      </c>
      <c r="F20" s="1">
        <v>205000</v>
      </c>
      <c r="G20" s="1">
        <v>12300000</v>
      </c>
      <c r="H20" s="1">
        <v>225000</v>
      </c>
      <c r="I20" s="1">
        <v>13500000</v>
      </c>
      <c r="J20" s="1">
        <v>1200000</v>
      </c>
    </row>
    <row r="21" spans="1:10" x14ac:dyDescent="0.25">
      <c r="A21" s="2">
        <v>45677</v>
      </c>
      <c r="B21" t="s">
        <v>14</v>
      </c>
      <c r="C21" t="s">
        <v>16</v>
      </c>
      <c r="D21" t="s">
        <v>10</v>
      </c>
      <c r="E21" s="1">
        <v>70</v>
      </c>
      <c r="F21" s="1">
        <v>115000</v>
      </c>
      <c r="G21" s="1">
        <v>8050000</v>
      </c>
      <c r="H21" s="1">
        <v>210000</v>
      </c>
      <c r="I21" s="1">
        <v>14700000</v>
      </c>
      <c r="J21" s="1">
        <v>6650000</v>
      </c>
    </row>
    <row r="22" spans="1:10" x14ac:dyDescent="0.25">
      <c r="A22" s="2">
        <v>45678</v>
      </c>
      <c r="B22" t="s">
        <v>13</v>
      </c>
      <c r="C22" t="s">
        <v>15</v>
      </c>
      <c r="D22" t="s">
        <v>2</v>
      </c>
      <c r="E22" s="1">
        <v>50</v>
      </c>
      <c r="F22" s="1">
        <v>185000</v>
      </c>
      <c r="G22" s="1">
        <v>9250000</v>
      </c>
      <c r="H22" s="1">
        <v>210000</v>
      </c>
      <c r="I22" s="1">
        <v>10500000</v>
      </c>
      <c r="J22" s="1">
        <v>1250000</v>
      </c>
    </row>
    <row r="23" spans="1:10" x14ac:dyDescent="0.25">
      <c r="A23" s="2">
        <v>45679</v>
      </c>
      <c r="B23" t="s">
        <v>13</v>
      </c>
      <c r="C23" t="s">
        <v>15</v>
      </c>
      <c r="D23" t="s">
        <v>0</v>
      </c>
      <c r="E23" s="1">
        <v>50</v>
      </c>
      <c r="F23" s="1">
        <v>145000</v>
      </c>
      <c r="G23" s="1">
        <v>7250000</v>
      </c>
      <c r="H23" s="1">
        <v>225000</v>
      </c>
      <c r="I23" s="1">
        <v>11250000</v>
      </c>
      <c r="J23" s="1">
        <v>4000000</v>
      </c>
    </row>
    <row r="24" spans="1:10" x14ac:dyDescent="0.25">
      <c r="A24" s="2">
        <v>45680</v>
      </c>
      <c r="B24" t="s">
        <v>11</v>
      </c>
      <c r="C24" t="s">
        <v>15</v>
      </c>
      <c r="D24" t="s">
        <v>10</v>
      </c>
      <c r="E24" s="1">
        <v>70</v>
      </c>
      <c r="F24" s="1">
        <v>125000</v>
      </c>
      <c r="G24" s="1">
        <v>8750000</v>
      </c>
      <c r="H24" s="1">
        <v>210000</v>
      </c>
      <c r="I24" s="1">
        <v>14700000</v>
      </c>
      <c r="J24" s="1">
        <v>5950000</v>
      </c>
    </row>
    <row r="25" spans="1:10" x14ac:dyDescent="0.25">
      <c r="A25" s="2">
        <v>45681</v>
      </c>
      <c r="B25" t="s">
        <v>11</v>
      </c>
      <c r="C25" t="s">
        <v>15</v>
      </c>
      <c r="D25" t="s">
        <v>2</v>
      </c>
      <c r="E25" s="1">
        <v>60</v>
      </c>
      <c r="F25" s="1">
        <v>85000</v>
      </c>
      <c r="G25" s="1">
        <v>5100000</v>
      </c>
      <c r="H25" s="1">
        <v>210000</v>
      </c>
      <c r="I25" s="1">
        <v>12600000</v>
      </c>
      <c r="J25" s="1">
        <v>7500000</v>
      </c>
    </row>
    <row r="26" spans="1:10" x14ac:dyDescent="0.25">
      <c r="A26" s="2">
        <v>45682</v>
      </c>
      <c r="B26" t="s">
        <v>11</v>
      </c>
      <c r="C26" t="s">
        <v>15</v>
      </c>
      <c r="D26" t="s">
        <v>0</v>
      </c>
      <c r="E26" s="1">
        <v>90</v>
      </c>
      <c r="F26" s="1">
        <v>185000</v>
      </c>
      <c r="G26" s="1">
        <v>16650000</v>
      </c>
      <c r="H26" s="1">
        <v>225000</v>
      </c>
      <c r="I26" s="1">
        <v>20250000</v>
      </c>
      <c r="J26" s="1">
        <v>3600000</v>
      </c>
    </row>
    <row r="27" spans="1:10" x14ac:dyDescent="0.25">
      <c r="A27" s="2">
        <v>45683</v>
      </c>
      <c r="B27" t="s">
        <v>11</v>
      </c>
      <c r="C27" t="s">
        <v>15</v>
      </c>
      <c r="D27" t="s">
        <v>10</v>
      </c>
      <c r="E27" s="1">
        <v>50</v>
      </c>
      <c r="F27" s="1">
        <v>145000</v>
      </c>
      <c r="G27" s="1">
        <v>7250000</v>
      </c>
      <c r="H27" s="1">
        <v>210000</v>
      </c>
      <c r="I27" s="1">
        <v>10500000</v>
      </c>
      <c r="J27" s="1">
        <v>3250000</v>
      </c>
    </row>
    <row r="28" spans="1:10" x14ac:dyDescent="0.25">
      <c r="A28" s="2">
        <v>45684</v>
      </c>
      <c r="B28" t="s">
        <v>11</v>
      </c>
      <c r="C28" t="s">
        <v>15</v>
      </c>
      <c r="D28" t="s">
        <v>2</v>
      </c>
      <c r="E28" s="1">
        <v>70</v>
      </c>
      <c r="F28" s="1">
        <v>155000</v>
      </c>
      <c r="G28" s="1">
        <v>10850000</v>
      </c>
      <c r="H28" s="1">
        <v>210000</v>
      </c>
      <c r="I28" s="1">
        <v>14700000</v>
      </c>
      <c r="J28" s="1">
        <v>3850000</v>
      </c>
    </row>
    <row r="29" spans="1:10" x14ac:dyDescent="0.25">
      <c r="A29" s="2">
        <v>45685</v>
      </c>
      <c r="B29" t="s">
        <v>11</v>
      </c>
      <c r="C29" t="s">
        <v>15</v>
      </c>
      <c r="D29" t="s">
        <v>0</v>
      </c>
      <c r="E29" s="1">
        <v>50</v>
      </c>
      <c r="F29" s="1">
        <v>175000</v>
      </c>
      <c r="G29" s="1">
        <v>8750000</v>
      </c>
      <c r="H29" s="1">
        <v>225000</v>
      </c>
      <c r="I29" s="1">
        <v>11250000</v>
      </c>
      <c r="J29" s="1">
        <v>2500000</v>
      </c>
    </row>
    <row r="30" spans="1:10" x14ac:dyDescent="0.25">
      <c r="A30" s="2">
        <v>45686</v>
      </c>
      <c r="B30" t="s">
        <v>11</v>
      </c>
      <c r="C30" t="s">
        <v>15</v>
      </c>
      <c r="D30" t="s">
        <v>10</v>
      </c>
      <c r="E30" s="1">
        <v>70</v>
      </c>
      <c r="F30" s="1">
        <v>195000</v>
      </c>
      <c r="G30" s="1">
        <v>13650000</v>
      </c>
      <c r="H30" s="1">
        <v>210000</v>
      </c>
      <c r="I30" s="1">
        <v>14700000</v>
      </c>
      <c r="J30" s="1">
        <v>1050000</v>
      </c>
    </row>
    <row r="31" spans="1:10" x14ac:dyDescent="0.25">
      <c r="A31" s="2">
        <v>45687</v>
      </c>
      <c r="B31" t="s">
        <v>13</v>
      </c>
      <c r="C31" t="s">
        <v>15</v>
      </c>
      <c r="D31" t="s">
        <v>2</v>
      </c>
      <c r="E31" s="1">
        <v>60</v>
      </c>
      <c r="F31" s="1">
        <v>185000</v>
      </c>
      <c r="G31" s="1">
        <v>11100000</v>
      </c>
      <c r="H31" s="1">
        <v>210000</v>
      </c>
      <c r="I31" s="1">
        <v>12600000</v>
      </c>
      <c r="J31" s="1">
        <v>1500000</v>
      </c>
    </row>
    <row r="32" spans="1:10" x14ac:dyDescent="0.25">
      <c r="A32" s="2">
        <v>45688</v>
      </c>
      <c r="B32" t="s">
        <v>14</v>
      </c>
      <c r="C32" t="s">
        <v>15</v>
      </c>
      <c r="D32" t="s">
        <v>0</v>
      </c>
      <c r="E32" s="1">
        <v>70</v>
      </c>
      <c r="F32" s="1">
        <v>165000</v>
      </c>
      <c r="G32" s="1">
        <v>11550000</v>
      </c>
      <c r="H32" s="1">
        <v>225000</v>
      </c>
      <c r="I32" s="1">
        <v>15750000</v>
      </c>
      <c r="J32" s="1">
        <v>4200000</v>
      </c>
    </row>
    <row r="33" spans="1:10" x14ac:dyDescent="0.25">
      <c r="A33" s="2">
        <v>45689</v>
      </c>
      <c r="B33" t="s">
        <v>14</v>
      </c>
      <c r="C33" t="s">
        <v>15</v>
      </c>
      <c r="D33" t="s">
        <v>10</v>
      </c>
      <c r="E33" s="1">
        <v>50</v>
      </c>
      <c r="F33" s="1">
        <v>185000</v>
      </c>
      <c r="G33" s="1">
        <v>9250000</v>
      </c>
      <c r="H33" s="1">
        <v>210000</v>
      </c>
      <c r="I33" s="1">
        <v>10500000</v>
      </c>
      <c r="J33" s="1">
        <v>1250000</v>
      </c>
    </row>
    <row r="34" spans="1:10" x14ac:dyDescent="0.25">
      <c r="A34" s="2">
        <v>45690</v>
      </c>
      <c r="B34" t="s">
        <v>11</v>
      </c>
      <c r="C34" t="s">
        <v>12</v>
      </c>
      <c r="D34" t="s">
        <v>2</v>
      </c>
      <c r="E34" s="1">
        <v>40</v>
      </c>
      <c r="F34" s="1">
        <v>95000</v>
      </c>
      <c r="G34" s="1">
        <v>3800000</v>
      </c>
      <c r="H34" s="1">
        <v>210000</v>
      </c>
      <c r="I34" s="1">
        <v>8400000</v>
      </c>
      <c r="J34" s="1">
        <v>4600000</v>
      </c>
    </row>
    <row r="35" spans="1:10" x14ac:dyDescent="0.25">
      <c r="A35" s="2">
        <v>45691</v>
      </c>
      <c r="B35" t="s">
        <v>11</v>
      </c>
      <c r="C35" t="s">
        <v>12</v>
      </c>
      <c r="D35" t="s">
        <v>0</v>
      </c>
      <c r="E35" s="1">
        <v>60</v>
      </c>
      <c r="F35" s="1">
        <v>115000</v>
      </c>
      <c r="G35" s="1">
        <v>6900000</v>
      </c>
      <c r="H35" s="1">
        <v>225000</v>
      </c>
      <c r="I35" s="1">
        <v>13500000</v>
      </c>
      <c r="J35" s="1">
        <v>6600000</v>
      </c>
    </row>
    <row r="36" spans="1:10" x14ac:dyDescent="0.25">
      <c r="A36" s="2">
        <v>45692</v>
      </c>
      <c r="B36" t="s">
        <v>11</v>
      </c>
      <c r="C36" t="s">
        <v>12</v>
      </c>
      <c r="D36" t="s">
        <v>10</v>
      </c>
      <c r="E36" s="1">
        <v>50</v>
      </c>
      <c r="F36" s="1">
        <v>135000</v>
      </c>
      <c r="G36" s="1">
        <v>6750000</v>
      </c>
      <c r="H36" s="1">
        <v>210000</v>
      </c>
      <c r="I36" s="1">
        <v>10500000</v>
      </c>
      <c r="J36" s="1">
        <v>3750000</v>
      </c>
    </row>
    <row r="37" spans="1:10" x14ac:dyDescent="0.25">
      <c r="A37" s="2">
        <v>45693</v>
      </c>
      <c r="B37" t="s">
        <v>11</v>
      </c>
      <c r="C37" t="s">
        <v>12</v>
      </c>
      <c r="D37" t="s">
        <v>2</v>
      </c>
      <c r="E37" s="1">
        <v>70</v>
      </c>
      <c r="F37" s="1">
        <v>205000</v>
      </c>
      <c r="G37" s="1">
        <v>14350000</v>
      </c>
      <c r="H37" s="1">
        <v>210000</v>
      </c>
      <c r="I37" s="1">
        <v>14700000</v>
      </c>
      <c r="J37" s="1">
        <v>350000</v>
      </c>
    </row>
    <row r="38" spans="1:10" x14ac:dyDescent="0.25">
      <c r="A38" s="2">
        <v>45694</v>
      </c>
      <c r="B38" t="s">
        <v>11</v>
      </c>
      <c r="C38" t="s">
        <v>12</v>
      </c>
      <c r="D38" t="s">
        <v>0</v>
      </c>
      <c r="E38" s="1">
        <v>40</v>
      </c>
      <c r="F38" s="1">
        <v>155000</v>
      </c>
      <c r="G38" s="1">
        <v>6200000</v>
      </c>
      <c r="H38" s="1">
        <v>225000</v>
      </c>
      <c r="I38" s="1">
        <v>9000000</v>
      </c>
      <c r="J38" s="1">
        <v>2800000</v>
      </c>
    </row>
    <row r="39" spans="1:10" x14ac:dyDescent="0.25">
      <c r="A39" s="2">
        <v>45695</v>
      </c>
      <c r="B39" t="s">
        <v>11</v>
      </c>
      <c r="C39" t="s">
        <v>12</v>
      </c>
      <c r="D39" t="s">
        <v>10</v>
      </c>
      <c r="E39" s="1">
        <v>80</v>
      </c>
      <c r="F39" s="1">
        <v>175000</v>
      </c>
      <c r="G39" s="1">
        <v>14000000</v>
      </c>
      <c r="H39" s="1">
        <v>210000</v>
      </c>
      <c r="I39" s="1">
        <v>16800000</v>
      </c>
      <c r="J39" s="1">
        <v>2800000</v>
      </c>
    </row>
    <row r="40" spans="1:10" x14ac:dyDescent="0.25">
      <c r="A40" s="2">
        <v>45696</v>
      </c>
      <c r="B40" t="s">
        <v>11</v>
      </c>
      <c r="C40" t="s">
        <v>12</v>
      </c>
      <c r="D40" t="s">
        <v>2</v>
      </c>
      <c r="E40" s="1">
        <v>50</v>
      </c>
      <c r="F40" s="1">
        <v>145000</v>
      </c>
      <c r="G40" s="1">
        <v>7250000</v>
      </c>
      <c r="H40" s="1">
        <v>210000</v>
      </c>
      <c r="I40" s="1">
        <v>10500000</v>
      </c>
      <c r="J40" s="1">
        <v>3250000</v>
      </c>
    </row>
    <row r="41" spans="1:10" x14ac:dyDescent="0.25">
      <c r="A41" s="2">
        <v>45697</v>
      </c>
      <c r="B41" t="s">
        <v>13</v>
      </c>
      <c r="C41" t="s">
        <v>12</v>
      </c>
      <c r="D41" t="s">
        <v>0</v>
      </c>
      <c r="E41" s="1">
        <v>90</v>
      </c>
      <c r="F41" s="1">
        <v>205000</v>
      </c>
      <c r="G41" s="1">
        <v>18450000</v>
      </c>
      <c r="H41" s="1">
        <v>225000</v>
      </c>
      <c r="I41" s="1">
        <v>20250000</v>
      </c>
      <c r="J41" s="1">
        <v>1800000</v>
      </c>
    </row>
    <row r="42" spans="1:10" x14ac:dyDescent="0.25">
      <c r="A42" s="2">
        <v>45698</v>
      </c>
      <c r="B42" t="s">
        <v>14</v>
      </c>
      <c r="C42" t="s">
        <v>12</v>
      </c>
      <c r="D42" t="s">
        <v>10</v>
      </c>
      <c r="E42" s="1">
        <v>90</v>
      </c>
      <c r="F42" s="1">
        <v>215000</v>
      </c>
      <c r="G42" s="1">
        <v>19350000</v>
      </c>
      <c r="H42" s="1">
        <v>210000</v>
      </c>
      <c r="I42" s="1">
        <v>18900000</v>
      </c>
      <c r="J42" s="1">
        <v>-450000</v>
      </c>
    </row>
    <row r="43" spans="1:10" x14ac:dyDescent="0.25">
      <c r="A43" s="2">
        <v>45699</v>
      </c>
      <c r="B43" t="s">
        <v>14</v>
      </c>
      <c r="C43" t="s">
        <v>12</v>
      </c>
      <c r="D43" t="s">
        <v>2</v>
      </c>
      <c r="E43" s="1">
        <v>60</v>
      </c>
      <c r="F43" s="1">
        <v>185000</v>
      </c>
      <c r="G43" s="1">
        <v>11100000</v>
      </c>
      <c r="H43" s="1">
        <v>210000</v>
      </c>
      <c r="I43" s="1">
        <v>12600000</v>
      </c>
      <c r="J43" s="1">
        <v>1500000</v>
      </c>
    </row>
    <row r="44" spans="1:10" x14ac:dyDescent="0.25">
      <c r="A44" s="2">
        <v>45700</v>
      </c>
      <c r="B44" t="s">
        <v>11</v>
      </c>
      <c r="C44" t="s">
        <v>12</v>
      </c>
      <c r="D44" t="s">
        <v>0</v>
      </c>
      <c r="E44" s="1">
        <v>70</v>
      </c>
      <c r="F44" s="1">
        <v>115000</v>
      </c>
      <c r="G44" s="1">
        <v>8050000</v>
      </c>
      <c r="H44" s="1">
        <v>225000</v>
      </c>
      <c r="I44" s="1">
        <v>15750000</v>
      </c>
      <c r="J44" s="1">
        <v>7700000</v>
      </c>
    </row>
    <row r="45" spans="1:10" x14ac:dyDescent="0.25">
      <c r="A45" s="2">
        <v>45701</v>
      </c>
      <c r="B45" t="s">
        <v>11</v>
      </c>
      <c r="C45" t="s">
        <v>12</v>
      </c>
      <c r="D45" t="s">
        <v>10</v>
      </c>
      <c r="E45" s="1">
        <v>80</v>
      </c>
      <c r="F45" s="1">
        <v>115000</v>
      </c>
      <c r="G45" s="1">
        <v>9200000</v>
      </c>
      <c r="H45" s="1">
        <v>210000</v>
      </c>
      <c r="I45" s="1">
        <v>16800000</v>
      </c>
      <c r="J45" s="1">
        <v>7600000</v>
      </c>
    </row>
    <row r="46" spans="1:10" x14ac:dyDescent="0.25">
      <c r="A46" s="2">
        <v>45702</v>
      </c>
      <c r="B46" t="s">
        <v>11</v>
      </c>
      <c r="C46" t="s">
        <v>15</v>
      </c>
      <c r="D46" t="s">
        <v>2</v>
      </c>
      <c r="E46" s="1">
        <v>40</v>
      </c>
      <c r="F46" s="1">
        <v>105000</v>
      </c>
      <c r="G46" s="1">
        <v>4200000</v>
      </c>
      <c r="H46" s="1">
        <v>210000</v>
      </c>
      <c r="I46" s="1">
        <v>8400000</v>
      </c>
      <c r="J46" s="1">
        <v>4200000</v>
      </c>
    </row>
    <row r="47" spans="1:10" x14ac:dyDescent="0.25">
      <c r="A47" s="2">
        <v>45703</v>
      </c>
      <c r="B47" t="s">
        <v>11</v>
      </c>
      <c r="C47" t="s">
        <v>15</v>
      </c>
      <c r="D47" t="s">
        <v>0</v>
      </c>
      <c r="E47" s="1">
        <v>80</v>
      </c>
      <c r="F47" s="1">
        <v>135000</v>
      </c>
      <c r="G47" s="1">
        <v>10800000</v>
      </c>
      <c r="H47" s="1">
        <v>225000</v>
      </c>
      <c r="I47" s="1">
        <v>18000000</v>
      </c>
      <c r="J47" s="1">
        <v>7200000</v>
      </c>
    </row>
    <row r="48" spans="1:10" x14ac:dyDescent="0.25">
      <c r="A48" s="2">
        <v>45704</v>
      </c>
      <c r="B48" t="s">
        <v>11</v>
      </c>
      <c r="C48" t="s">
        <v>15</v>
      </c>
      <c r="D48" t="s">
        <v>10</v>
      </c>
      <c r="E48" s="1">
        <v>60</v>
      </c>
      <c r="F48" s="1">
        <v>205000</v>
      </c>
      <c r="G48" s="1">
        <v>12300000</v>
      </c>
      <c r="H48" s="1">
        <v>210000</v>
      </c>
      <c r="I48" s="1">
        <v>12600000</v>
      </c>
      <c r="J48" s="1">
        <v>300000</v>
      </c>
    </row>
    <row r="49" spans="1:10" x14ac:dyDescent="0.25">
      <c r="A49" s="2">
        <v>45705</v>
      </c>
      <c r="B49" t="s">
        <v>11</v>
      </c>
      <c r="C49" t="s">
        <v>15</v>
      </c>
      <c r="D49" t="s">
        <v>2</v>
      </c>
      <c r="E49" s="1">
        <v>70</v>
      </c>
      <c r="F49" s="1">
        <v>115000</v>
      </c>
      <c r="G49" s="1">
        <v>8050000</v>
      </c>
      <c r="H49" s="1">
        <v>210000</v>
      </c>
      <c r="I49" s="1">
        <v>14700000</v>
      </c>
      <c r="J49" s="1">
        <v>6650000</v>
      </c>
    </row>
    <row r="50" spans="1:10" x14ac:dyDescent="0.25">
      <c r="A50" s="2">
        <v>45706</v>
      </c>
      <c r="B50" t="s">
        <v>11</v>
      </c>
      <c r="C50" t="s">
        <v>16</v>
      </c>
      <c r="D50" t="s">
        <v>0</v>
      </c>
      <c r="E50" s="1">
        <v>50</v>
      </c>
      <c r="F50" s="1">
        <v>165000</v>
      </c>
      <c r="G50" s="1">
        <v>8250000</v>
      </c>
      <c r="H50" s="1">
        <v>225000</v>
      </c>
      <c r="I50" s="1">
        <v>11250000</v>
      </c>
      <c r="J50" s="1">
        <v>3000000</v>
      </c>
    </row>
    <row r="51" spans="1:10" x14ac:dyDescent="0.25">
      <c r="A51" s="2">
        <v>45707</v>
      </c>
      <c r="B51" t="s">
        <v>13</v>
      </c>
      <c r="C51" t="s">
        <v>16</v>
      </c>
      <c r="D51" t="s">
        <v>10</v>
      </c>
      <c r="E51" s="1">
        <v>70</v>
      </c>
      <c r="F51" s="1">
        <v>115000</v>
      </c>
      <c r="G51" s="1">
        <v>8050000</v>
      </c>
      <c r="H51" s="1">
        <v>210000</v>
      </c>
      <c r="I51" s="1">
        <v>14700000</v>
      </c>
      <c r="J51" s="1">
        <v>6650000</v>
      </c>
    </row>
    <row r="52" spans="1:10" x14ac:dyDescent="0.25">
      <c r="A52" s="2">
        <v>45708</v>
      </c>
      <c r="B52" t="s">
        <v>14</v>
      </c>
      <c r="C52" t="s">
        <v>16</v>
      </c>
      <c r="D52" t="s">
        <v>2</v>
      </c>
      <c r="E52" s="1">
        <v>60</v>
      </c>
      <c r="F52" s="1">
        <v>165000</v>
      </c>
      <c r="G52" s="1">
        <v>9900000</v>
      </c>
      <c r="H52" s="1">
        <v>210000</v>
      </c>
      <c r="I52" s="1">
        <v>12600000</v>
      </c>
      <c r="J52" s="1">
        <v>2700000</v>
      </c>
    </row>
    <row r="53" spans="1:10" x14ac:dyDescent="0.25">
      <c r="A53" s="2">
        <v>45709</v>
      </c>
      <c r="B53" t="s">
        <v>14</v>
      </c>
      <c r="C53" t="s">
        <v>16</v>
      </c>
      <c r="D53" t="s">
        <v>0</v>
      </c>
      <c r="E53" s="1">
        <v>50</v>
      </c>
      <c r="F53" s="1">
        <v>95000</v>
      </c>
      <c r="G53" s="1">
        <v>4750000</v>
      </c>
      <c r="H53" s="1">
        <v>225000</v>
      </c>
      <c r="I53" s="1">
        <v>11250000</v>
      </c>
      <c r="J53" s="1">
        <v>6500000</v>
      </c>
    </row>
    <row r="54" spans="1:10" x14ac:dyDescent="0.25">
      <c r="A54" s="2">
        <v>45710</v>
      </c>
      <c r="B54" t="s">
        <v>11</v>
      </c>
      <c r="C54" t="s">
        <v>12</v>
      </c>
      <c r="D54" t="s">
        <v>10</v>
      </c>
      <c r="E54" s="1">
        <v>40</v>
      </c>
      <c r="F54" s="1">
        <v>205000</v>
      </c>
      <c r="G54" s="1">
        <v>8200000</v>
      </c>
      <c r="H54" s="1">
        <v>210000</v>
      </c>
      <c r="I54" s="1">
        <v>8400000</v>
      </c>
      <c r="J54" s="1">
        <v>200000</v>
      </c>
    </row>
    <row r="55" spans="1:10" x14ac:dyDescent="0.25">
      <c r="A55" s="2">
        <v>45711</v>
      </c>
      <c r="B55" t="s">
        <v>11</v>
      </c>
      <c r="C55" t="s">
        <v>12</v>
      </c>
      <c r="D55" t="s">
        <v>2</v>
      </c>
      <c r="E55" s="1">
        <v>90</v>
      </c>
      <c r="F55" s="1">
        <v>145000</v>
      </c>
      <c r="G55" s="1">
        <v>13050000</v>
      </c>
      <c r="H55" s="1">
        <v>210000</v>
      </c>
      <c r="I55" s="1">
        <v>18900000</v>
      </c>
      <c r="J55" s="1">
        <v>5850000</v>
      </c>
    </row>
    <row r="56" spans="1:10" x14ac:dyDescent="0.25">
      <c r="A56" s="2">
        <v>45712</v>
      </c>
      <c r="B56" t="s">
        <v>11</v>
      </c>
      <c r="C56" t="s">
        <v>12</v>
      </c>
      <c r="D56" t="s">
        <v>0</v>
      </c>
      <c r="E56" s="1">
        <v>50</v>
      </c>
      <c r="F56" s="1">
        <v>175000</v>
      </c>
      <c r="G56" s="1">
        <v>8750000</v>
      </c>
      <c r="H56" s="1">
        <v>225000</v>
      </c>
      <c r="I56" s="1">
        <v>11250000</v>
      </c>
      <c r="J56" s="1">
        <v>2500000</v>
      </c>
    </row>
    <row r="57" spans="1:10" x14ac:dyDescent="0.25">
      <c r="A57" s="2">
        <v>45713</v>
      </c>
      <c r="B57" t="s">
        <v>11</v>
      </c>
      <c r="C57" t="s">
        <v>12</v>
      </c>
      <c r="D57" t="s">
        <v>10</v>
      </c>
      <c r="E57" s="1">
        <v>40</v>
      </c>
      <c r="F57" s="1">
        <v>175000</v>
      </c>
      <c r="G57" s="1">
        <v>7000000</v>
      </c>
      <c r="H57" s="1">
        <v>210000</v>
      </c>
      <c r="I57" s="1">
        <v>8400000</v>
      </c>
      <c r="J57" s="1">
        <v>1400000</v>
      </c>
    </row>
    <row r="58" spans="1:10" x14ac:dyDescent="0.25">
      <c r="A58" s="2">
        <v>45714</v>
      </c>
      <c r="B58" t="s">
        <v>11</v>
      </c>
      <c r="C58" t="s">
        <v>12</v>
      </c>
      <c r="D58" t="s">
        <v>2</v>
      </c>
      <c r="E58" s="1">
        <v>40</v>
      </c>
      <c r="F58" s="1">
        <v>115000</v>
      </c>
      <c r="G58" s="1">
        <v>4600000</v>
      </c>
      <c r="H58" s="1">
        <v>210000</v>
      </c>
      <c r="I58" s="1">
        <v>8400000</v>
      </c>
      <c r="J58" s="1">
        <v>3800000</v>
      </c>
    </row>
    <row r="59" spans="1:10" x14ac:dyDescent="0.25">
      <c r="A59" s="2">
        <v>45715</v>
      </c>
      <c r="B59" t="s">
        <v>11</v>
      </c>
      <c r="C59" t="s">
        <v>12</v>
      </c>
      <c r="D59" t="s">
        <v>0</v>
      </c>
      <c r="E59" s="1">
        <v>80</v>
      </c>
      <c r="F59" s="1">
        <v>155000</v>
      </c>
      <c r="G59" s="1">
        <v>12400000</v>
      </c>
      <c r="H59" s="1">
        <v>225000</v>
      </c>
      <c r="I59" s="1">
        <v>18000000</v>
      </c>
      <c r="J59" s="1">
        <v>5600000</v>
      </c>
    </row>
    <row r="60" spans="1:10" x14ac:dyDescent="0.25">
      <c r="A60" s="2">
        <v>45716</v>
      </c>
      <c r="B60" t="s">
        <v>11</v>
      </c>
      <c r="C60" t="s">
        <v>12</v>
      </c>
      <c r="D60" t="s">
        <v>10</v>
      </c>
      <c r="E60" s="1">
        <v>60</v>
      </c>
      <c r="F60" s="1">
        <v>165000</v>
      </c>
      <c r="G60" s="1">
        <v>9900000</v>
      </c>
      <c r="H60" s="1">
        <v>210000</v>
      </c>
      <c r="I60" s="1">
        <v>12600000</v>
      </c>
      <c r="J60" s="1">
        <v>2700000</v>
      </c>
    </row>
    <row r="61" spans="1:10" x14ac:dyDescent="0.25">
      <c r="A61" s="2">
        <v>45717</v>
      </c>
      <c r="B61" t="s">
        <v>13</v>
      </c>
      <c r="C61" t="s">
        <v>12</v>
      </c>
      <c r="D61" t="s">
        <v>2</v>
      </c>
      <c r="E61" s="1">
        <v>70</v>
      </c>
      <c r="F61" s="1">
        <v>165000</v>
      </c>
      <c r="G61" s="1">
        <v>11550000</v>
      </c>
      <c r="H61" s="1">
        <v>210000</v>
      </c>
      <c r="I61" s="1">
        <v>14700000</v>
      </c>
      <c r="J61" s="1">
        <v>3150000</v>
      </c>
    </row>
    <row r="62" spans="1:10" x14ac:dyDescent="0.25">
      <c r="A62" s="2">
        <v>45718</v>
      </c>
      <c r="B62" t="s">
        <v>14</v>
      </c>
      <c r="C62" t="s">
        <v>12</v>
      </c>
      <c r="D62" t="s">
        <v>0</v>
      </c>
      <c r="E62" s="1">
        <v>50</v>
      </c>
      <c r="F62" s="1">
        <v>195000</v>
      </c>
      <c r="G62" s="1">
        <v>9750000</v>
      </c>
      <c r="H62" s="1">
        <v>225000</v>
      </c>
      <c r="I62" s="1">
        <v>11250000</v>
      </c>
      <c r="J62" s="1">
        <v>1500000</v>
      </c>
    </row>
    <row r="63" spans="1:10" x14ac:dyDescent="0.25">
      <c r="A63" s="2">
        <v>45719</v>
      </c>
      <c r="B63" t="s">
        <v>14</v>
      </c>
      <c r="C63" t="s">
        <v>12</v>
      </c>
      <c r="D63" t="s">
        <v>10</v>
      </c>
      <c r="E63" s="1">
        <v>70</v>
      </c>
      <c r="F63" s="1">
        <v>135000</v>
      </c>
      <c r="G63" s="1">
        <v>9450000</v>
      </c>
      <c r="H63" s="1">
        <v>210000</v>
      </c>
      <c r="I63" s="1">
        <v>14700000</v>
      </c>
      <c r="J63" s="1">
        <v>5250000</v>
      </c>
    </row>
    <row r="64" spans="1:10" x14ac:dyDescent="0.25">
      <c r="A64" s="2">
        <v>45720</v>
      </c>
      <c r="B64" t="s">
        <v>11</v>
      </c>
      <c r="C64" t="s">
        <v>12</v>
      </c>
      <c r="D64" t="s">
        <v>2</v>
      </c>
      <c r="E64" s="1">
        <v>50</v>
      </c>
      <c r="F64" s="1">
        <v>135000</v>
      </c>
      <c r="G64" s="1">
        <v>6750000</v>
      </c>
      <c r="H64" s="1">
        <v>210000</v>
      </c>
      <c r="I64" s="1">
        <v>10500000</v>
      </c>
      <c r="J64" s="1">
        <v>3750000</v>
      </c>
    </row>
    <row r="65" spans="1:10" x14ac:dyDescent="0.25">
      <c r="A65" s="2">
        <v>45721</v>
      </c>
      <c r="B65" t="s">
        <v>11</v>
      </c>
      <c r="C65" t="s">
        <v>12</v>
      </c>
      <c r="D65" t="s">
        <v>0</v>
      </c>
      <c r="E65" s="1">
        <v>60</v>
      </c>
      <c r="F65" s="1">
        <v>115000</v>
      </c>
      <c r="G65" s="1">
        <v>6900000</v>
      </c>
      <c r="H65" s="1">
        <v>225000</v>
      </c>
      <c r="I65" s="1">
        <v>13500000</v>
      </c>
      <c r="J65" s="1">
        <v>6600000</v>
      </c>
    </row>
    <row r="66" spans="1:10" x14ac:dyDescent="0.25">
      <c r="A66" s="2">
        <v>45722</v>
      </c>
      <c r="B66" t="s">
        <v>11</v>
      </c>
      <c r="C66" t="s">
        <v>15</v>
      </c>
      <c r="D66" t="s">
        <v>10</v>
      </c>
      <c r="E66" s="1">
        <v>80</v>
      </c>
      <c r="F66" s="1">
        <v>125000</v>
      </c>
      <c r="G66" s="1">
        <v>10000000</v>
      </c>
      <c r="H66" s="1">
        <v>210000</v>
      </c>
      <c r="I66" s="1">
        <v>16800000</v>
      </c>
      <c r="J66" s="1">
        <v>6800000</v>
      </c>
    </row>
    <row r="67" spans="1:10" x14ac:dyDescent="0.25">
      <c r="A67" s="2">
        <v>45723</v>
      </c>
      <c r="B67" t="s">
        <v>11</v>
      </c>
      <c r="C67" t="s">
        <v>15</v>
      </c>
      <c r="D67" t="s">
        <v>2</v>
      </c>
      <c r="E67" s="1">
        <v>40</v>
      </c>
      <c r="F67" s="1">
        <v>115000</v>
      </c>
      <c r="G67" s="1">
        <v>4600000</v>
      </c>
      <c r="H67" s="1">
        <v>210000</v>
      </c>
      <c r="I67" s="1">
        <v>8400000</v>
      </c>
      <c r="J67" s="1">
        <v>3800000</v>
      </c>
    </row>
    <row r="68" spans="1:10" x14ac:dyDescent="0.25">
      <c r="A68" s="2">
        <v>45724</v>
      </c>
      <c r="B68" t="s">
        <v>11</v>
      </c>
      <c r="C68" t="s">
        <v>15</v>
      </c>
      <c r="D68" t="s">
        <v>0</v>
      </c>
      <c r="E68" s="1">
        <v>70</v>
      </c>
      <c r="F68" s="1">
        <v>205000</v>
      </c>
      <c r="G68" s="1">
        <v>14350000</v>
      </c>
      <c r="H68" s="1">
        <v>225000</v>
      </c>
      <c r="I68" s="1">
        <v>15750000</v>
      </c>
      <c r="J68" s="1">
        <v>1400000</v>
      </c>
    </row>
    <row r="69" spans="1:10" x14ac:dyDescent="0.25">
      <c r="A69" s="2">
        <v>45725</v>
      </c>
      <c r="B69" t="s">
        <v>11</v>
      </c>
      <c r="C69" t="s">
        <v>15</v>
      </c>
      <c r="D69" t="s">
        <v>10</v>
      </c>
      <c r="E69" s="1">
        <v>90</v>
      </c>
      <c r="F69" s="1">
        <v>195000</v>
      </c>
      <c r="G69" s="1">
        <v>17550000</v>
      </c>
      <c r="H69" s="1">
        <v>210000</v>
      </c>
      <c r="I69" s="1">
        <v>18900000</v>
      </c>
      <c r="J69" s="1">
        <v>1350000</v>
      </c>
    </row>
    <row r="70" spans="1:10" x14ac:dyDescent="0.25">
      <c r="A70" s="2">
        <v>45726</v>
      </c>
      <c r="B70" t="s">
        <v>11</v>
      </c>
      <c r="C70" t="s">
        <v>16</v>
      </c>
      <c r="D70" t="s">
        <v>2</v>
      </c>
      <c r="E70" s="1">
        <v>60</v>
      </c>
      <c r="F70" s="1">
        <v>205000</v>
      </c>
      <c r="G70" s="1">
        <v>12300000</v>
      </c>
      <c r="H70" s="1">
        <v>210000</v>
      </c>
      <c r="I70" s="1">
        <v>12600000</v>
      </c>
      <c r="J70" s="1">
        <v>300000</v>
      </c>
    </row>
    <row r="71" spans="1:10" x14ac:dyDescent="0.25">
      <c r="A71" s="2">
        <v>45727</v>
      </c>
      <c r="B71" t="s">
        <v>13</v>
      </c>
      <c r="C71" t="s">
        <v>16</v>
      </c>
      <c r="D71" t="s">
        <v>0</v>
      </c>
      <c r="E71" s="1">
        <v>70</v>
      </c>
      <c r="F71" s="1">
        <v>215000</v>
      </c>
      <c r="G71" s="1">
        <v>15050000</v>
      </c>
      <c r="H71" s="1">
        <v>225000</v>
      </c>
      <c r="I71" s="1">
        <v>15750000</v>
      </c>
      <c r="J71" s="1">
        <v>700000</v>
      </c>
    </row>
    <row r="72" spans="1:10" x14ac:dyDescent="0.25">
      <c r="A72" s="2">
        <v>45728</v>
      </c>
      <c r="B72" t="s">
        <v>14</v>
      </c>
      <c r="C72" t="s">
        <v>16</v>
      </c>
      <c r="D72" t="s">
        <v>10</v>
      </c>
      <c r="E72" s="1">
        <v>80</v>
      </c>
      <c r="F72" s="1">
        <v>105000</v>
      </c>
      <c r="G72" s="1">
        <v>8400000</v>
      </c>
      <c r="H72" s="1">
        <v>210000</v>
      </c>
      <c r="I72" s="1">
        <v>16800000</v>
      </c>
      <c r="J72" s="1">
        <v>8400000</v>
      </c>
    </row>
    <row r="73" spans="1:10" x14ac:dyDescent="0.25">
      <c r="A73" s="2">
        <v>45729</v>
      </c>
      <c r="B73" t="s">
        <v>14</v>
      </c>
      <c r="C73" t="s">
        <v>16</v>
      </c>
      <c r="D73" t="s">
        <v>2</v>
      </c>
      <c r="E73" s="1">
        <v>40</v>
      </c>
      <c r="F73" s="1">
        <v>165000</v>
      </c>
      <c r="G73" s="1">
        <v>6600000</v>
      </c>
      <c r="H73" s="1">
        <v>210000</v>
      </c>
      <c r="I73" s="1">
        <v>8400000</v>
      </c>
      <c r="J73" s="1">
        <v>1800000</v>
      </c>
    </row>
    <row r="74" spans="1:10" x14ac:dyDescent="0.25">
      <c r="A74" s="2">
        <v>45730</v>
      </c>
      <c r="B74" t="s">
        <v>11</v>
      </c>
      <c r="C74" t="s">
        <v>12</v>
      </c>
      <c r="D74" t="s">
        <v>0</v>
      </c>
      <c r="E74" s="1">
        <v>50</v>
      </c>
      <c r="F74" s="1">
        <v>155000</v>
      </c>
      <c r="G74" s="1">
        <v>7750000</v>
      </c>
      <c r="H74" s="1">
        <v>225000</v>
      </c>
      <c r="I74" s="1">
        <v>11250000</v>
      </c>
      <c r="J74" s="1">
        <v>3500000</v>
      </c>
    </row>
    <row r="75" spans="1:10" x14ac:dyDescent="0.25">
      <c r="A75" s="2">
        <v>45731</v>
      </c>
      <c r="B75" t="s">
        <v>11</v>
      </c>
      <c r="C75" t="s">
        <v>12</v>
      </c>
      <c r="D75" t="s">
        <v>10</v>
      </c>
      <c r="E75" s="1">
        <v>70</v>
      </c>
      <c r="F75" s="1">
        <v>135000</v>
      </c>
      <c r="G75" s="1">
        <v>9450000</v>
      </c>
      <c r="H75" s="1">
        <v>210000</v>
      </c>
      <c r="I75" s="1">
        <v>14700000</v>
      </c>
      <c r="J75" s="1">
        <v>5250000</v>
      </c>
    </row>
    <row r="76" spans="1:10" x14ac:dyDescent="0.25">
      <c r="A76" s="2">
        <v>45732</v>
      </c>
      <c r="B76" t="s">
        <v>11</v>
      </c>
      <c r="C76" t="s">
        <v>12</v>
      </c>
      <c r="D76" t="s">
        <v>2</v>
      </c>
      <c r="E76" s="1">
        <v>60</v>
      </c>
      <c r="F76" s="1">
        <v>105000</v>
      </c>
      <c r="G76" s="1">
        <v>6300000</v>
      </c>
      <c r="H76" s="1">
        <v>210000</v>
      </c>
      <c r="I76" s="1">
        <v>12600000</v>
      </c>
      <c r="J76" s="1">
        <v>6300000</v>
      </c>
    </row>
    <row r="77" spans="1:10" x14ac:dyDescent="0.25">
      <c r="A77" s="2">
        <v>45733</v>
      </c>
      <c r="B77" t="s">
        <v>11</v>
      </c>
      <c r="C77" t="s">
        <v>12</v>
      </c>
      <c r="D77" t="s">
        <v>0</v>
      </c>
      <c r="E77" s="1">
        <v>70</v>
      </c>
      <c r="F77" s="1">
        <v>125000</v>
      </c>
      <c r="G77" s="1">
        <v>8750000</v>
      </c>
      <c r="H77" s="1">
        <v>225000</v>
      </c>
      <c r="I77" s="1">
        <v>15750000</v>
      </c>
      <c r="J77" s="1">
        <v>7000000</v>
      </c>
    </row>
    <row r="78" spans="1:10" x14ac:dyDescent="0.25">
      <c r="A78" s="2">
        <v>45734</v>
      </c>
      <c r="B78" t="s">
        <v>11</v>
      </c>
      <c r="C78" t="s">
        <v>12</v>
      </c>
      <c r="D78" t="s">
        <v>10</v>
      </c>
      <c r="E78" s="1">
        <v>60</v>
      </c>
      <c r="F78" s="1">
        <v>205000</v>
      </c>
      <c r="G78" s="1">
        <v>12300000</v>
      </c>
      <c r="H78" s="1">
        <v>210000</v>
      </c>
      <c r="I78" s="1">
        <v>12600000</v>
      </c>
      <c r="J78" s="1">
        <v>300000</v>
      </c>
    </row>
    <row r="79" spans="1:10" x14ac:dyDescent="0.25">
      <c r="A79" s="2">
        <v>45735</v>
      </c>
      <c r="B79" t="s">
        <v>11</v>
      </c>
      <c r="C79" t="s">
        <v>12</v>
      </c>
      <c r="D79" t="s">
        <v>2</v>
      </c>
      <c r="E79" s="1">
        <v>70</v>
      </c>
      <c r="F79" s="1">
        <v>105000</v>
      </c>
      <c r="G79" s="1">
        <v>7350000</v>
      </c>
      <c r="H79" s="1">
        <v>210000</v>
      </c>
      <c r="I79" s="1">
        <v>14700000</v>
      </c>
      <c r="J79" s="1">
        <v>7350000</v>
      </c>
    </row>
    <row r="80" spans="1:10" x14ac:dyDescent="0.25">
      <c r="A80" s="2">
        <v>45736</v>
      </c>
      <c r="B80" t="s">
        <v>11</v>
      </c>
      <c r="C80" t="s">
        <v>12</v>
      </c>
      <c r="D80" t="s">
        <v>0</v>
      </c>
      <c r="E80" s="1">
        <v>70</v>
      </c>
      <c r="F80" s="1">
        <v>145000</v>
      </c>
      <c r="G80" s="1">
        <v>10150000</v>
      </c>
      <c r="H80" s="1">
        <v>225000</v>
      </c>
      <c r="I80" s="1">
        <v>15750000</v>
      </c>
      <c r="J80" s="1">
        <v>5600000</v>
      </c>
    </row>
    <row r="81" spans="1:10" x14ac:dyDescent="0.25">
      <c r="A81" s="2">
        <v>45737</v>
      </c>
      <c r="B81" t="s">
        <v>13</v>
      </c>
      <c r="C81" t="s">
        <v>12</v>
      </c>
      <c r="D81" t="s">
        <v>10</v>
      </c>
      <c r="E81" s="1">
        <v>70</v>
      </c>
      <c r="F81" s="1">
        <v>135000</v>
      </c>
      <c r="G81" s="1">
        <v>9450000</v>
      </c>
      <c r="H81" s="1">
        <v>210000</v>
      </c>
      <c r="I81" s="1">
        <v>14700000</v>
      </c>
      <c r="J81" s="1">
        <v>5250000</v>
      </c>
    </row>
    <row r="82" spans="1:10" x14ac:dyDescent="0.25">
      <c r="A82" s="2">
        <v>45738</v>
      </c>
      <c r="B82" t="s">
        <v>14</v>
      </c>
      <c r="C82" t="s">
        <v>12</v>
      </c>
      <c r="D82" t="s">
        <v>2</v>
      </c>
      <c r="E82" s="1">
        <v>80</v>
      </c>
      <c r="F82" s="1">
        <v>195000</v>
      </c>
      <c r="G82" s="1">
        <v>15600000</v>
      </c>
      <c r="H82" s="1">
        <v>210000</v>
      </c>
      <c r="I82" s="1">
        <v>16800000</v>
      </c>
      <c r="J82" s="1">
        <v>1200000</v>
      </c>
    </row>
    <row r="83" spans="1:10" x14ac:dyDescent="0.25">
      <c r="A83" s="2">
        <v>45739</v>
      </c>
      <c r="B83" t="s">
        <v>14</v>
      </c>
      <c r="C83" t="s">
        <v>12</v>
      </c>
      <c r="D83" t="s">
        <v>0</v>
      </c>
      <c r="E83" s="1">
        <v>50</v>
      </c>
      <c r="F83" s="1">
        <v>125000</v>
      </c>
      <c r="G83" s="1">
        <v>6250000</v>
      </c>
      <c r="H83" s="1">
        <v>225000</v>
      </c>
      <c r="I83" s="1">
        <v>11250000</v>
      </c>
      <c r="J83" s="1">
        <v>5000000</v>
      </c>
    </row>
    <row r="84" spans="1:10" x14ac:dyDescent="0.25">
      <c r="A84" s="2">
        <v>45740</v>
      </c>
      <c r="B84" t="s">
        <v>11</v>
      </c>
      <c r="C84" t="s">
        <v>12</v>
      </c>
      <c r="D84" t="s">
        <v>10</v>
      </c>
      <c r="E84" s="1">
        <v>70</v>
      </c>
      <c r="F84" s="1">
        <v>155000</v>
      </c>
      <c r="G84" s="1">
        <v>10850000</v>
      </c>
      <c r="H84" s="1">
        <v>210000</v>
      </c>
      <c r="I84" s="1">
        <v>14700000</v>
      </c>
      <c r="J84" s="1">
        <v>3850000</v>
      </c>
    </row>
    <row r="85" spans="1:10" x14ac:dyDescent="0.25">
      <c r="A85" s="2">
        <v>45741</v>
      </c>
      <c r="B85" t="s">
        <v>11</v>
      </c>
      <c r="C85" t="s">
        <v>12</v>
      </c>
      <c r="D85" t="s">
        <v>2</v>
      </c>
      <c r="E85" s="1">
        <v>50</v>
      </c>
      <c r="F85" s="1">
        <v>105000</v>
      </c>
      <c r="G85" s="1">
        <v>5250000</v>
      </c>
      <c r="H85" s="1">
        <v>210000</v>
      </c>
      <c r="I85" s="1">
        <v>10500000</v>
      </c>
      <c r="J85" s="1">
        <v>5250000</v>
      </c>
    </row>
    <row r="86" spans="1:10" x14ac:dyDescent="0.25">
      <c r="A86" s="2">
        <v>45742</v>
      </c>
      <c r="B86" t="s">
        <v>11</v>
      </c>
      <c r="C86" t="s">
        <v>15</v>
      </c>
      <c r="D86" t="s">
        <v>0</v>
      </c>
      <c r="E86" s="1">
        <v>50</v>
      </c>
      <c r="F86" s="1">
        <v>195000</v>
      </c>
      <c r="G86" s="1">
        <v>9750000</v>
      </c>
      <c r="H86" s="1">
        <v>225000</v>
      </c>
      <c r="I86" s="1">
        <v>11250000</v>
      </c>
      <c r="J86" s="1">
        <v>1500000</v>
      </c>
    </row>
    <row r="87" spans="1:10" x14ac:dyDescent="0.25">
      <c r="A87" s="2">
        <v>45743</v>
      </c>
      <c r="B87" t="s">
        <v>11</v>
      </c>
      <c r="C87" t="s">
        <v>15</v>
      </c>
      <c r="D87" t="s">
        <v>10</v>
      </c>
      <c r="E87" s="1">
        <v>40</v>
      </c>
      <c r="F87" s="1">
        <v>125000</v>
      </c>
      <c r="G87" s="1">
        <v>5000000</v>
      </c>
      <c r="H87" s="1">
        <v>210000</v>
      </c>
      <c r="I87" s="1">
        <v>8400000</v>
      </c>
      <c r="J87" s="1">
        <v>3400000</v>
      </c>
    </row>
    <row r="88" spans="1:10" x14ac:dyDescent="0.25">
      <c r="A88" s="2">
        <v>45744</v>
      </c>
      <c r="B88" t="s">
        <v>11</v>
      </c>
      <c r="C88" t="s">
        <v>15</v>
      </c>
      <c r="D88" t="s">
        <v>2</v>
      </c>
      <c r="E88" s="1">
        <v>50</v>
      </c>
      <c r="F88" s="1">
        <v>205000</v>
      </c>
      <c r="G88" s="1">
        <v>10250000</v>
      </c>
      <c r="H88" s="1">
        <v>210000</v>
      </c>
      <c r="I88" s="1">
        <v>10500000</v>
      </c>
      <c r="J88" s="1">
        <v>250000</v>
      </c>
    </row>
    <row r="89" spans="1:10" x14ac:dyDescent="0.25">
      <c r="A89" s="2">
        <v>45745</v>
      </c>
      <c r="B89" t="s">
        <v>11</v>
      </c>
      <c r="C89" t="s">
        <v>15</v>
      </c>
      <c r="D89" t="s">
        <v>0</v>
      </c>
      <c r="E89" s="1">
        <v>60</v>
      </c>
      <c r="F89" s="1">
        <v>105000</v>
      </c>
      <c r="G89" s="1">
        <v>6300000</v>
      </c>
      <c r="H89" s="1">
        <v>225000</v>
      </c>
      <c r="I89" s="1">
        <v>13500000</v>
      </c>
      <c r="J89" s="1">
        <v>7200000</v>
      </c>
    </row>
    <row r="90" spans="1:10" x14ac:dyDescent="0.25">
      <c r="A90" s="2">
        <v>45746</v>
      </c>
      <c r="B90" t="s">
        <v>11</v>
      </c>
      <c r="C90" t="s">
        <v>16</v>
      </c>
      <c r="D90" t="s">
        <v>10</v>
      </c>
      <c r="E90" s="1">
        <v>70</v>
      </c>
      <c r="F90" s="1">
        <v>195000</v>
      </c>
      <c r="G90" s="1">
        <v>13650000</v>
      </c>
      <c r="H90" s="1">
        <v>210000</v>
      </c>
      <c r="I90" s="1">
        <v>14700000</v>
      </c>
      <c r="J90" s="1">
        <v>1050000</v>
      </c>
    </row>
    <row r="91" spans="1:10" x14ac:dyDescent="0.25">
      <c r="A91" s="2">
        <v>45747</v>
      </c>
      <c r="B91" t="s">
        <v>13</v>
      </c>
      <c r="C91" t="s">
        <v>16</v>
      </c>
      <c r="D91" t="s">
        <v>2</v>
      </c>
      <c r="E91" s="1">
        <v>40</v>
      </c>
      <c r="F91" s="1">
        <v>105000</v>
      </c>
      <c r="G91" s="1">
        <v>4200000</v>
      </c>
      <c r="H91" s="1">
        <v>210000</v>
      </c>
      <c r="I91" s="1">
        <v>8400000</v>
      </c>
      <c r="J91" s="1">
        <v>4200000</v>
      </c>
    </row>
    <row r="92" spans="1:10" x14ac:dyDescent="0.25">
      <c r="A92" s="2">
        <v>45748</v>
      </c>
      <c r="B92" t="s">
        <v>14</v>
      </c>
      <c r="C92" t="s">
        <v>16</v>
      </c>
      <c r="D92" t="s">
        <v>0</v>
      </c>
      <c r="E92" s="1">
        <v>80</v>
      </c>
      <c r="F92" s="1">
        <v>95000</v>
      </c>
      <c r="G92" s="1">
        <v>7600000</v>
      </c>
      <c r="H92" s="1">
        <v>225000</v>
      </c>
      <c r="I92" s="1">
        <v>18000000</v>
      </c>
      <c r="J92" s="1">
        <v>10400000</v>
      </c>
    </row>
    <row r="93" spans="1:10" x14ac:dyDescent="0.25">
      <c r="A93" s="2">
        <v>45749</v>
      </c>
      <c r="B93" t="s">
        <v>14</v>
      </c>
      <c r="C93" t="s">
        <v>16</v>
      </c>
      <c r="D93" t="s">
        <v>10</v>
      </c>
      <c r="E93" s="1">
        <v>80</v>
      </c>
      <c r="F93" s="1">
        <v>195000</v>
      </c>
      <c r="G93" s="1">
        <v>15600000</v>
      </c>
      <c r="H93" s="1">
        <v>210000</v>
      </c>
      <c r="I93" s="1">
        <v>16800000</v>
      </c>
      <c r="J93" s="1">
        <v>1200000</v>
      </c>
    </row>
    <row r="94" spans="1:10" x14ac:dyDescent="0.25">
      <c r="A94" s="2">
        <v>45750</v>
      </c>
      <c r="B94" t="s">
        <v>11</v>
      </c>
      <c r="C94" t="s">
        <v>12</v>
      </c>
      <c r="D94" t="s">
        <v>2</v>
      </c>
      <c r="E94" s="1">
        <v>60</v>
      </c>
      <c r="F94" s="1">
        <v>95000</v>
      </c>
      <c r="G94" s="1">
        <v>5700000</v>
      </c>
      <c r="H94" s="1">
        <v>210000</v>
      </c>
      <c r="I94" s="1">
        <v>12600000</v>
      </c>
      <c r="J94" s="1">
        <v>6900000</v>
      </c>
    </row>
    <row r="95" spans="1:10" x14ac:dyDescent="0.25">
      <c r="A95" s="2">
        <v>45751</v>
      </c>
      <c r="B95" t="s">
        <v>11</v>
      </c>
      <c r="C95" t="s">
        <v>12</v>
      </c>
      <c r="D95" t="s">
        <v>0</v>
      </c>
      <c r="E95" s="1">
        <v>40</v>
      </c>
      <c r="F95" s="1">
        <v>155000</v>
      </c>
      <c r="G95" s="1">
        <v>6200000</v>
      </c>
      <c r="H95" s="1">
        <v>225000</v>
      </c>
      <c r="I95" s="1">
        <v>9000000</v>
      </c>
      <c r="J95" s="1">
        <v>2800000</v>
      </c>
    </row>
    <row r="96" spans="1:10" x14ac:dyDescent="0.25">
      <c r="A96" s="2">
        <v>45752</v>
      </c>
      <c r="B96" t="s">
        <v>11</v>
      </c>
      <c r="C96" t="s">
        <v>12</v>
      </c>
      <c r="D96" t="s">
        <v>10</v>
      </c>
      <c r="E96" s="1">
        <v>80</v>
      </c>
      <c r="F96" s="1">
        <v>125000</v>
      </c>
      <c r="G96" s="1">
        <v>10000000</v>
      </c>
      <c r="H96" s="1">
        <v>210000</v>
      </c>
      <c r="I96" s="1">
        <v>16800000</v>
      </c>
      <c r="J96" s="1">
        <v>6800000</v>
      </c>
    </row>
    <row r="97" spans="1:10" x14ac:dyDescent="0.25">
      <c r="A97" s="2">
        <v>45753</v>
      </c>
      <c r="B97" t="s">
        <v>11</v>
      </c>
      <c r="C97" t="s">
        <v>12</v>
      </c>
      <c r="D97" t="s">
        <v>2</v>
      </c>
      <c r="E97" s="1">
        <v>50</v>
      </c>
      <c r="F97" s="1">
        <v>165000</v>
      </c>
      <c r="G97" s="1">
        <v>8250000</v>
      </c>
      <c r="H97" s="1">
        <v>210000</v>
      </c>
      <c r="I97" s="1">
        <v>10500000</v>
      </c>
      <c r="J97" s="1">
        <v>2250000</v>
      </c>
    </row>
    <row r="98" spans="1:10" x14ac:dyDescent="0.25">
      <c r="A98" s="2">
        <v>45754</v>
      </c>
      <c r="B98" t="s">
        <v>11</v>
      </c>
      <c r="C98" t="s">
        <v>12</v>
      </c>
      <c r="D98" t="s">
        <v>0</v>
      </c>
      <c r="E98" s="1">
        <v>90</v>
      </c>
      <c r="F98" s="1">
        <v>195000</v>
      </c>
      <c r="G98" s="1">
        <v>17550000</v>
      </c>
      <c r="H98" s="1">
        <v>225000</v>
      </c>
      <c r="I98" s="1">
        <v>20250000</v>
      </c>
      <c r="J98" s="1">
        <v>2700000</v>
      </c>
    </row>
    <row r="99" spans="1:10" x14ac:dyDescent="0.25">
      <c r="A99" s="2">
        <v>45755</v>
      </c>
      <c r="B99" t="s">
        <v>11</v>
      </c>
      <c r="C99" t="s">
        <v>12</v>
      </c>
      <c r="D99" t="s">
        <v>10</v>
      </c>
      <c r="E99" s="1">
        <v>90</v>
      </c>
      <c r="F99" s="1">
        <v>95000</v>
      </c>
      <c r="G99" s="1">
        <v>8550000</v>
      </c>
      <c r="H99" s="1">
        <v>210000</v>
      </c>
      <c r="I99" s="1">
        <v>18900000</v>
      </c>
      <c r="J99" s="1">
        <v>10350000</v>
      </c>
    </row>
    <row r="100" spans="1:10" x14ac:dyDescent="0.25">
      <c r="A100" s="2">
        <v>45756</v>
      </c>
      <c r="B100" t="s">
        <v>11</v>
      </c>
      <c r="C100" t="s">
        <v>12</v>
      </c>
      <c r="D100" t="s">
        <v>2</v>
      </c>
      <c r="E100" s="1">
        <v>60</v>
      </c>
      <c r="F100" s="1">
        <v>105000</v>
      </c>
      <c r="G100" s="1">
        <v>6300000</v>
      </c>
      <c r="H100" s="1">
        <v>210000</v>
      </c>
      <c r="I100" s="1">
        <v>12600000</v>
      </c>
      <c r="J100" s="1">
        <v>6300000</v>
      </c>
    </row>
    <row r="101" spans="1:10" x14ac:dyDescent="0.25">
      <c r="A101" s="2">
        <v>45757</v>
      </c>
      <c r="B101" t="s">
        <v>13</v>
      </c>
      <c r="C101" t="s">
        <v>12</v>
      </c>
      <c r="D101" t="s">
        <v>0</v>
      </c>
      <c r="E101" s="1">
        <v>80</v>
      </c>
      <c r="F101" s="1">
        <v>145000</v>
      </c>
      <c r="G101" s="1">
        <v>11600000</v>
      </c>
      <c r="H101" s="1">
        <v>225000</v>
      </c>
      <c r="I101" s="1">
        <v>18000000</v>
      </c>
      <c r="J101" s="1">
        <v>6400000</v>
      </c>
    </row>
    <row r="102" spans="1:10" x14ac:dyDescent="0.25">
      <c r="A102" s="2">
        <v>45758</v>
      </c>
      <c r="B102" t="s">
        <v>14</v>
      </c>
      <c r="C102" t="s">
        <v>12</v>
      </c>
      <c r="D102" t="s">
        <v>10</v>
      </c>
      <c r="E102" s="1">
        <v>80</v>
      </c>
      <c r="F102" s="1">
        <v>175000</v>
      </c>
      <c r="G102" s="1">
        <v>14000000</v>
      </c>
      <c r="H102" s="1">
        <v>210000</v>
      </c>
      <c r="I102" s="1">
        <v>16800000</v>
      </c>
      <c r="J102" s="1">
        <v>2800000</v>
      </c>
    </row>
    <row r="103" spans="1:10" x14ac:dyDescent="0.25">
      <c r="A103" s="2">
        <v>45759</v>
      </c>
      <c r="B103" t="s">
        <v>14</v>
      </c>
      <c r="C103" t="s">
        <v>12</v>
      </c>
      <c r="D103" t="s">
        <v>2</v>
      </c>
      <c r="E103" s="1">
        <v>70</v>
      </c>
      <c r="F103" s="1">
        <v>125000</v>
      </c>
      <c r="G103" s="1">
        <v>8750000</v>
      </c>
      <c r="H103" s="1">
        <v>210000</v>
      </c>
      <c r="I103" s="1">
        <v>14700000</v>
      </c>
      <c r="J103" s="1">
        <v>5950000</v>
      </c>
    </row>
    <row r="104" spans="1:10" x14ac:dyDescent="0.25">
      <c r="A104" s="2">
        <v>45760</v>
      </c>
      <c r="B104" t="s">
        <v>11</v>
      </c>
      <c r="C104" t="s">
        <v>12</v>
      </c>
      <c r="D104" t="s">
        <v>0</v>
      </c>
      <c r="E104" s="1">
        <v>60</v>
      </c>
      <c r="F104" s="1">
        <v>165000</v>
      </c>
      <c r="G104" s="1">
        <v>9900000</v>
      </c>
      <c r="H104" s="1">
        <v>225000</v>
      </c>
      <c r="I104" s="1">
        <v>13500000</v>
      </c>
      <c r="J104" s="1">
        <v>3600000</v>
      </c>
    </row>
    <row r="105" spans="1:10" x14ac:dyDescent="0.25">
      <c r="A105" s="2">
        <v>45761</v>
      </c>
      <c r="B105" t="s">
        <v>11</v>
      </c>
      <c r="C105" t="s">
        <v>12</v>
      </c>
      <c r="D105" t="s">
        <v>10</v>
      </c>
      <c r="E105" s="1">
        <v>40</v>
      </c>
      <c r="F105" s="1">
        <v>185000</v>
      </c>
      <c r="G105" s="1">
        <v>7400000</v>
      </c>
      <c r="H105" s="1">
        <v>210000</v>
      </c>
      <c r="I105" s="1">
        <v>8400000</v>
      </c>
      <c r="J105" s="1">
        <v>1000000</v>
      </c>
    </row>
    <row r="106" spans="1:10" x14ac:dyDescent="0.25">
      <c r="A106" s="2">
        <v>45762</v>
      </c>
      <c r="B106" t="s">
        <v>11</v>
      </c>
      <c r="C106" t="s">
        <v>15</v>
      </c>
      <c r="D106" t="s">
        <v>2</v>
      </c>
      <c r="E106" s="1">
        <v>40</v>
      </c>
      <c r="F106" s="1">
        <v>175000</v>
      </c>
      <c r="G106" s="1">
        <v>7000000</v>
      </c>
      <c r="H106" s="1">
        <v>210000</v>
      </c>
      <c r="I106" s="1">
        <v>8400000</v>
      </c>
      <c r="J106" s="1">
        <v>1400000</v>
      </c>
    </row>
    <row r="107" spans="1:10" x14ac:dyDescent="0.25">
      <c r="A107" s="2">
        <v>45763</v>
      </c>
      <c r="B107" t="s">
        <v>11</v>
      </c>
      <c r="C107" t="s">
        <v>15</v>
      </c>
      <c r="D107" t="s">
        <v>0</v>
      </c>
      <c r="E107" s="1">
        <v>80</v>
      </c>
      <c r="F107" s="1">
        <v>165000</v>
      </c>
      <c r="G107" s="1">
        <v>13200000</v>
      </c>
      <c r="H107" s="1">
        <v>225000</v>
      </c>
      <c r="I107" s="1">
        <v>18000000</v>
      </c>
      <c r="J107" s="1">
        <v>4800000</v>
      </c>
    </row>
    <row r="108" spans="1:10" x14ac:dyDescent="0.25">
      <c r="A108" s="2">
        <v>45764</v>
      </c>
      <c r="B108" t="s">
        <v>11</v>
      </c>
      <c r="C108" t="s">
        <v>15</v>
      </c>
      <c r="D108" t="s">
        <v>10</v>
      </c>
      <c r="E108" s="1">
        <v>80</v>
      </c>
      <c r="F108" s="1">
        <v>145000</v>
      </c>
      <c r="G108" s="1">
        <v>11600000</v>
      </c>
      <c r="H108" s="1">
        <v>210000</v>
      </c>
      <c r="I108" s="1">
        <v>16800000</v>
      </c>
      <c r="J108" s="1">
        <v>5200000</v>
      </c>
    </row>
    <row r="109" spans="1:10" x14ac:dyDescent="0.25">
      <c r="A109" s="2">
        <v>45765</v>
      </c>
      <c r="B109" t="s">
        <v>11</v>
      </c>
      <c r="C109" t="s">
        <v>15</v>
      </c>
      <c r="D109" t="s">
        <v>2</v>
      </c>
      <c r="E109" s="1">
        <v>70</v>
      </c>
      <c r="F109" s="1">
        <v>135000</v>
      </c>
      <c r="G109" s="1">
        <v>9450000</v>
      </c>
      <c r="H109" s="1">
        <v>210000</v>
      </c>
      <c r="I109" s="1">
        <v>14700000</v>
      </c>
      <c r="J109" s="1">
        <v>5250000</v>
      </c>
    </row>
    <row r="110" spans="1:10" x14ac:dyDescent="0.25">
      <c r="A110" s="2">
        <v>45766</v>
      </c>
      <c r="B110" t="s">
        <v>11</v>
      </c>
      <c r="C110" t="s">
        <v>16</v>
      </c>
      <c r="D110" t="s">
        <v>0</v>
      </c>
      <c r="E110" s="1">
        <v>60</v>
      </c>
      <c r="F110" s="1">
        <v>145000</v>
      </c>
      <c r="G110" s="1">
        <v>8700000</v>
      </c>
      <c r="H110" s="1">
        <v>225000</v>
      </c>
      <c r="I110" s="1">
        <v>13500000</v>
      </c>
      <c r="J110" s="1">
        <v>4800000</v>
      </c>
    </row>
    <row r="111" spans="1:10" x14ac:dyDescent="0.25">
      <c r="A111" s="2">
        <v>45767</v>
      </c>
      <c r="B111" t="s">
        <v>13</v>
      </c>
      <c r="C111" t="s">
        <v>16</v>
      </c>
      <c r="D111" t="s">
        <v>10</v>
      </c>
      <c r="E111" s="1">
        <v>80</v>
      </c>
      <c r="F111" s="1">
        <v>145000</v>
      </c>
      <c r="G111" s="1">
        <v>11600000</v>
      </c>
      <c r="H111" s="1">
        <v>210000</v>
      </c>
      <c r="I111" s="1">
        <v>16800000</v>
      </c>
      <c r="J111" s="1">
        <v>5200000</v>
      </c>
    </row>
    <row r="112" spans="1:10" x14ac:dyDescent="0.25">
      <c r="A112" s="2">
        <v>45768</v>
      </c>
      <c r="B112" t="s">
        <v>14</v>
      </c>
      <c r="C112" t="s">
        <v>16</v>
      </c>
      <c r="D112" t="s">
        <v>2</v>
      </c>
      <c r="E112" s="1">
        <v>50</v>
      </c>
      <c r="F112" s="1">
        <v>205000</v>
      </c>
      <c r="G112" s="1">
        <v>10250000</v>
      </c>
      <c r="H112" s="1">
        <v>210000</v>
      </c>
      <c r="I112" s="1">
        <v>10500000</v>
      </c>
      <c r="J112" s="1">
        <v>250000</v>
      </c>
    </row>
    <row r="113" spans="1:10" x14ac:dyDescent="0.25">
      <c r="A113" s="2">
        <v>45769</v>
      </c>
      <c r="B113" t="s">
        <v>14</v>
      </c>
      <c r="C113" t="s">
        <v>16</v>
      </c>
      <c r="D113" t="s">
        <v>0</v>
      </c>
      <c r="E113" s="1">
        <v>50</v>
      </c>
      <c r="F113" s="1">
        <v>115000</v>
      </c>
      <c r="G113" s="1">
        <v>5750000</v>
      </c>
      <c r="H113" s="1">
        <v>225000</v>
      </c>
      <c r="I113" s="1">
        <v>11250000</v>
      </c>
      <c r="J113" s="1">
        <v>5500000</v>
      </c>
    </row>
    <row r="114" spans="1:10" x14ac:dyDescent="0.25">
      <c r="A114" s="2">
        <v>45770</v>
      </c>
      <c r="B114" t="s">
        <v>11</v>
      </c>
      <c r="C114" t="s">
        <v>12</v>
      </c>
      <c r="D114" t="s">
        <v>10</v>
      </c>
      <c r="E114" s="1">
        <v>50</v>
      </c>
      <c r="F114" s="1">
        <v>215000</v>
      </c>
      <c r="G114" s="1">
        <v>10750000</v>
      </c>
      <c r="H114" s="1">
        <v>210000</v>
      </c>
      <c r="I114" s="1">
        <v>10500000</v>
      </c>
      <c r="J114" s="1">
        <v>-250000</v>
      </c>
    </row>
    <row r="115" spans="1:10" x14ac:dyDescent="0.25">
      <c r="A115" s="2">
        <v>45771</v>
      </c>
      <c r="B115" t="s">
        <v>11</v>
      </c>
      <c r="C115" t="s">
        <v>12</v>
      </c>
      <c r="D115" t="s">
        <v>2</v>
      </c>
      <c r="E115" s="1">
        <v>90</v>
      </c>
      <c r="F115" s="1">
        <v>115000</v>
      </c>
      <c r="G115" s="1">
        <v>10350000</v>
      </c>
      <c r="H115" s="1">
        <v>210000</v>
      </c>
      <c r="I115" s="1">
        <v>18900000</v>
      </c>
      <c r="J115" s="1">
        <v>8550000</v>
      </c>
    </row>
    <row r="116" spans="1:10" x14ac:dyDescent="0.25">
      <c r="A116" s="2">
        <v>45772</v>
      </c>
      <c r="B116" t="s">
        <v>11</v>
      </c>
      <c r="C116" t="s">
        <v>12</v>
      </c>
      <c r="D116" t="s">
        <v>0</v>
      </c>
      <c r="E116" s="1">
        <v>80</v>
      </c>
      <c r="F116" s="1">
        <v>165000</v>
      </c>
      <c r="G116" s="1">
        <v>13200000</v>
      </c>
      <c r="H116" s="1">
        <v>225000</v>
      </c>
      <c r="I116" s="1">
        <v>18000000</v>
      </c>
      <c r="J116" s="1">
        <v>4800000</v>
      </c>
    </row>
    <row r="117" spans="1:10" x14ac:dyDescent="0.25">
      <c r="A117" s="2">
        <v>45773</v>
      </c>
      <c r="B117" t="s">
        <v>11</v>
      </c>
      <c r="C117" t="s">
        <v>12</v>
      </c>
      <c r="D117" t="s">
        <v>10</v>
      </c>
      <c r="E117" s="1">
        <v>90</v>
      </c>
      <c r="F117" s="1">
        <v>145000</v>
      </c>
      <c r="G117" s="1">
        <v>13050000</v>
      </c>
      <c r="H117" s="1">
        <v>210000</v>
      </c>
      <c r="I117" s="1">
        <v>18900000</v>
      </c>
      <c r="J117" s="1">
        <v>5850000</v>
      </c>
    </row>
    <row r="118" spans="1:10" x14ac:dyDescent="0.25">
      <c r="A118" s="2">
        <v>45774</v>
      </c>
      <c r="B118" t="s">
        <v>11</v>
      </c>
      <c r="C118" t="s">
        <v>12</v>
      </c>
      <c r="D118" t="s">
        <v>2</v>
      </c>
      <c r="E118" s="1">
        <v>40</v>
      </c>
      <c r="F118" s="1">
        <v>125000</v>
      </c>
      <c r="G118" s="1">
        <v>5000000</v>
      </c>
      <c r="H118" s="1">
        <v>210000</v>
      </c>
      <c r="I118" s="1">
        <v>8400000</v>
      </c>
      <c r="J118" s="1">
        <v>3400000</v>
      </c>
    </row>
    <row r="119" spans="1:10" x14ac:dyDescent="0.25">
      <c r="A119" s="2">
        <v>45775</v>
      </c>
      <c r="B119" t="s">
        <v>11</v>
      </c>
      <c r="C119" t="s">
        <v>12</v>
      </c>
      <c r="D119" t="s">
        <v>0</v>
      </c>
      <c r="E119" s="1">
        <v>90</v>
      </c>
      <c r="F119" s="1">
        <v>155000</v>
      </c>
      <c r="G119" s="1">
        <v>13950000</v>
      </c>
      <c r="H119" s="1">
        <v>225000</v>
      </c>
      <c r="I119" s="1">
        <v>20250000</v>
      </c>
      <c r="J119" s="1">
        <v>6300000</v>
      </c>
    </row>
    <row r="120" spans="1:10" x14ac:dyDescent="0.25">
      <c r="A120" s="2">
        <v>45776</v>
      </c>
      <c r="B120" t="s">
        <v>11</v>
      </c>
      <c r="C120" t="s">
        <v>12</v>
      </c>
      <c r="D120" t="s">
        <v>10</v>
      </c>
      <c r="E120" s="1">
        <v>60</v>
      </c>
      <c r="F120" s="1">
        <v>175000</v>
      </c>
      <c r="G120" s="1">
        <v>10500000</v>
      </c>
      <c r="H120" s="1">
        <v>210000</v>
      </c>
      <c r="I120" s="1">
        <v>12600000</v>
      </c>
      <c r="J120" s="1">
        <v>2100000</v>
      </c>
    </row>
    <row r="121" spans="1:10" x14ac:dyDescent="0.25">
      <c r="A121" s="2">
        <v>45777</v>
      </c>
      <c r="B121" t="s">
        <v>13</v>
      </c>
      <c r="C121" t="s">
        <v>12</v>
      </c>
      <c r="D121" t="s">
        <v>2</v>
      </c>
      <c r="E121" s="1">
        <v>70</v>
      </c>
      <c r="F121" s="1">
        <v>205000</v>
      </c>
      <c r="G121" s="1">
        <v>14350000</v>
      </c>
      <c r="H121" s="1">
        <v>210000</v>
      </c>
      <c r="I121" s="1">
        <v>14700000</v>
      </c>
      <c r="J121" s="1">
        <v>350000</v>
      </c>
    </row>
    <row r="122" spans="1:10" x14ac:dyDescent="0.25">
      <c r="A122" s="2">
        <v>45778</v>
      </c>
      <c r="B122" t="s">
        <v>14</v>
      </c>
      <c r="C122" t="s">
        <v>12</v>
      </c>
      <c r="D122" t="s">
        <v>0</v>
      </c>
      <c r="E122" s="1">
        <v>60</v>
      </c>
      <c r="F122" s="1">
        <v>165000</v>
      </c>
      <c r="G122" s="1">
        <v>9900000</v>
      </c>
      <c r="H122" s="1">
        <v>225000</v>
      </c>
      <c r="I122" s="1">
        <v>13500000</v>
      </c>
      <c r="J122" s="1">
        <v>3600000</v>
      </c>
    </row>
    <row r="123" spans="1:10" x14ac:dyDescent="0.25">
      <c r="A123" s="2">
        <v>45779</v>
      </c>
      <c r="B123" t="s">
        <v>14</v>
      </c>
      <c r="C123" t="s">
        <v>12</v>
      </c>
      <c r="D123" t="s">
        <v>10</v>
      </c>
      <c r="E123" s="1">
        <v>70</v>
      </c>
      <c r="F123" s="1">
        <v>145000</v>
      </c>
      <c r="G123" s="1">
        <v>10150000</v>
      </c>
      <c r="H123" s="1">
        <v>210000</v>
      </c>
      <c r="I123" s="1">
        <v>14700000</v>
      </c>
      <c r="J123" s="1">
        <v>4550000</v>
      </c>
    </row>
    <row r="124" spans="1:10" x14ac:dyDescent="0.25">
      <c r="A124" s="2">
        <v>45780</v>
      </c>
      <c r="B124" t="s">
        <v>11</v>
      </c>
      <c r="C124" t="s">
        <v>12</v>
      </c>
      <c r="D124" t="s">
        <v>2</v>
      </c>
      <c r="E124" s="1">
        <v>40</v>
      </c>
      <c r="F124" s="1">
        <v>175000</v>
      </c>
      <c r="G124" s="1">
        <v>7000000</v>
      </c>
      <c r="H124" s="1">
        <v>210000</v>
      </c>
      <c r="I124" s="1">
        <v>8400000</v>
      </c>
      <c r="J124" s="1">
        <v>1400000</v>
      </c>
    </row>
    <row r="125" spans="1:10" x14ac:dyDescent="0.25">
      <c r="A125" s="2">
        <v>45781</v>
      </c>
      <c r="B125" t="s">
        <v>11</v>
      </c>
      <c r="C125" t="s">
        <v>12</v>
      </c>
      <c r="D125" t="s">
        <v>0</v>
      </c>
      <c r="E125" s="1">
        <v>90</v>
      </c>
      <c r="F125" s="1">
        <v>145000</v>
      </c>
      <c r="G125" s="1">
        <v>13050000</v>
      </c>
      <c r="H125" s="1">
        <v>225000</v>
      </c>
      <c r="I125" s="1">
        <v>20250000</v>
      </c>
      <c r="J125" s="1">
        <v>7200000</v>
      </c>
    </row>
    <row r="126" spans="1:10" x14ac:dyDescent="0.25">
      <c r="A126" s="2">
        <v>45782</v>
      </c>
      <c r="B126" t="s">
        <v>11</v>
      </c>
      <c r="C126" t="s">
        <v>15</v>
      </c>
      <c r="D126" t="s">
        <v>10</v>
      </c>
      <c r="E126" s="1">
        <v>40</v>
      </c>
      <c r="F126" s="1">
        <v>165000</v>
      </c>
      <c r="G126" s="1">
        <v>6600000</v>
      </c>
      <c r="H126" s="1">
        <v>210000</v>
      </c>
      <c r="I126" s="1">
        <v>8400000</v>
      </c>
      <c r="J126" s="1">
        <v>1800000</v>
      </c>
    </row>
    <row r="127" spans="1:10" x14ac:dyDescent="0.25">
      <c r="A127" s="2">
        <v>45783</v>
      </c>
      <c r="B127" t="s">
        <v>11</v>
      </c>
      <c r="C127" t="s">
        <v>15</v>
      </c>
      <c r="D127" t="s">
        <v>2</v>
      </c>
      <c r="E127" s="1">
        <v>70</v>
      </c>
      <c r="F127" s="1">
        <v>155000</v>
      </c>
      <c r="G127" s="1">
        <v>10850000</v>
      </c>
      <c r="H127" s="1">
        <v>210000</v>
      </c>
      <c r="I127" s="1">
        <v>14700000</v>
      </c>
      <c r="J127" s="1">
        <v>3850000</v>
      </c>
    </row>
    <row r="128" spans="1:10" x14ac:dyDescent="0.25">
      <c r="A128" s="2">
        <v>45784</v>
      </c>
      <c r="B128" t="s">
        <v>11</v>
      </c>
      <c r="C128" t="s">
        <v>15</v>
      </c>
      <c r="D128" t="s">
        <v>0</v>
      </c>
      <c r="E128" s="1">
        <v>80</v>
      </c>
      <c r="F128" s="1">
        <v>185000</v>
      </c>
      <c r="G128" s="1">
        <v>14800000</v>
      </c>
      <c r="H128" s="1">
        <v>225000</v>
      </c>
      <c r="I128" s="1">
        <v>18000000</v>
      </c>
      <c r="J128" s="1">
        <v>3200000</v>
      </c>
    </row>
    <row r="129" spans="1:10" x14ac:dyDescent="0.25">
      <c r="A129" s="2">
        <v>45785</v>
      </c>
      <c r="B129" t="s">
        <v>11</v>
      </c>
      <c r="C129" t="s">
        <v>15</v>
      </c>
      <c r="D129" t="s">
        <v>10</v>
      </c>
      <c r="E129" s="1">
        <v>70</v>
      </c>
      <c r="F129" s="1">
        <v>145000</v>
      </c>
      <c r="G129" s="1">
        <v>10150000</v>
      </c>
      <c r="H129" s="1">
        <v>210000</v>
      </c>
      <c r="I129" s="1">
        <v>14700000</v>
      </c>
      <c r="J129" s="1">
        <v>4550000</v>
      </c>
    </row>
    <row r="130" spans="1:10" x14ac:dyDescent="0.25">
      <c r="A130" s="2">
        <v>45786</v>
      </c>
      <c r="B130" t="s">
        <v>11</v>
      </c>
      <c r="C130" t="s">
        <v>16</v>
      </c>
      <c r="D130" t="s">
        <v>2</v>
      </c>
      <c r="E130" s="1">
        <v>80</v>
      </c>
      <c r="F130" s="1">
        <v>115000</v>
      </c>
      <c r="G130" s="1">
        <v>9200000</v>
      </c>
      <c r="H130" s="1">
        <v>210000</v>
      </c>
      <c r="I130" s="1">
        <v>16800000</v>
      </c>
      <c r="J130" s="1">
        <v>7600000</v>
      </c>
    </row>
    <row r="131" spans="1:10" x14ac:dyDescent="0.25">
      <c r="A131" s="2">
        <v>45787</v>
      </c>
      <c r="B131" t="s">
        <v>13</v>
      </c>
      <c r="C131" t="s">
        <v>16</v>
      </c>
      <c r="D131" t="s">
        <v>0</v>
      </c>
      <c r="E131" s="1">
        <v>70</v>
      </c>
      <c r="F131" s="1">
        <v>195000</v>
      </c>
      <c r="G131" s="1">
        <v>13650000</v>
      </c>
      <c r="H131" s="1">
        <v>225000</v>
      </c>
      <c r="I131" s="1">
        <v>15750000</v>
      </c>
      <c r="J131" s="1">
        <v>2100000</v>
      </c>
    </row>
    <row r="132" spans="1:10" x14ac:dyDescent="0.25">
      <c r="A132" s="2">
        <v>45788</v>
      </c>
      <c r="B132" t="s">
        <v>14</v>
      </c>
      <c r="C132" t="s">
        <v>16</v>
      </c>
      <c r="D132" t="s">
        <v>10</v>
      </c>
      <c r="E132" s="1">
        <v>50</v>
      </c>
      <c r="F132" s="1">
        <v>175000</v>
      </c>
      <c r="G132" s="1">
        <v>8750000</v>
      </c>
      <c r="H132" s="1">
        <v>210000</v>
      </c>
      <c r="I132" s="1">
        <v>10500000</v>
      </c>
      <c r="J132" s="1">
        <v>1750000</v>
      </c>
    </row>
    <row r="133" spans="1:10" x14ac:dyDescent="0.25">
      <c r="A133" s="2">
        <v>45789</v>
      </c>
      <c r="B133" t="s">
        <v>14</v>
      </c>
      <c r="C133" t="s">
        <v>16</v>
      </c>
      <c r="D133" t="s">
        <v>2</v>
      </c>
      <c r="E133" s="1">
        <v>50</v>
      </c>
      <c r="F133" s="1">
        <v>195000</v>
      </c>
      <c r="G133" s="1">
        <v>9750000</v>
      </c>
      <c r="H133" s="1">
        <v>210000</v>
      </c>
      <c r="I133" s="1">
        <v>10500000</v>
      </c>
      <c r="J133" s="1">
        <v>750000</v>
      </c>
    </row>
    <row r="134" spans="1:10" x14ac:dyDescent="0.25">
      <c r="A134" s="2">
        <v>45790</v>
      </c>
      <c r="B134" t="s">
        <v>11</v>
      </c>
      <c r="C134" t="s">
        <v>12</v>
      </c>
      <c r="D134" t="s">
        <v>0</v>
      </c>
      <c r="E134" s="1">
        <v>70</v>
      </c>
      <c r="F134" s="1">
        <v>215000</v>
      </c>
      <c r="G134" s="1">
        <v>15050000</v>
      </c>
      <c r="H134" s="1">
        <v>225000</v>
      </c>
      <c r="I134" s="1">
        <v>15750000</v>
      </c>
      <c r="J134" s="1">
        <v>700000</v>
      </c>
    </row>
    <row r="135" spans="1:10" x14ac:dyDescent="0.25">
      <c r="A135" s="2">
        <v>45791</v>
      </c>
      <c r="B135" t="s">
        <v>11</v>
      </c>
      <c r="C135" t="s">
        <v>12</v>
      </c>
      <c r="D135" t="s">
        <v>10</v>
      </c>
      <c r="E135" s="1">
        <v>80</v>
      </c>
      <c r="F135" s="1">
        <v>215000</v>
      </c>
      <c r="G135" s="1">
        <v>17200000</v>
      </c>
      <c r="H135" s="1">
        <v>210000</v>
      </c>
      <c r="I135" s="1">
        <v>16800000</v>
      </c>
      <c r="J135" s="1">
        <v>-400000</v>
      </c>
    </row>
    <row r="136" spans="1:10" x14ac:dyDescent="0.25">
      <c r="A136" s="2">
        <v>45792</v>
      </c>
      <c r="B136" t="s">
        <v>11</v>
      </c>
      <c r="C136" t="s">
        <v>12</v>
      </c>
      <c r="D136" t="s">
        <v>2</v>
      </c>
      <c r="E136" s="1">
        <v>90</v>
      </c>
      <c r="F136" s="1">
        <v>145000</v>
      </c>
      <c r="G136" s="1">
        <v>13050000</v>
      </c>
      <c r="H136" s="1">
        <v>210000</v>
      </c>
      <c r="I136" s="1">
        <v>18900000</v>
      </c>
      <c r="J136" s="1">
        <v>5850000</v>
      </c>
    </row>
    <row r="137" spans="1:10" x14ac:dyDescent="0.25">
      <c r="A137" s="2">
        <v>45793</v>
      </c>
      <c r="B137" t="s">
        <v>11</v>
      </c>
      <c r="C137" t="s">
        <v>12</v>
      </c>
      <c r="D137" t="s">
        <v>0</v>
      </c>
      <c r="E137" s="1">
        <v>50</v>
      </c>
      <c r="F137" s="1">
        <v>175000</v>
      </c>
      <c r="G137" s="1">
        <v>8750000</v>
      </c>
      <c r="H137" s="1">
        <v>225000</v>
      </c>
      <c r="I137" s="1">
        <v>11250000</v>
      </c>
      <c r="J137" s="1">
        <v>2500000</v>
      </c>
    </row>
    <row r="138" spans="1:10" x14ac:dyDescent="0.25">
      <c r="A138" s="2">
        <v>45794</v>
      </c>
      <c r="B138" t="s">
        <v>11</v>
      </c>
      <c r="C138" t="s">
        <v>12</v>
      </c>
      <c r="D138" t="s">
        <v>10</v>
      </c>
      <c r="E138" s="1">
        <v>80</v>
      </c>
      <c r="F138" s="1">
        <v>95000</v>
      </c>
      <c r="G138" s="1">
        <v>7600000</v>
      </c>
      <c r="H138" s="1">
        <v>210000</v>
      </c>
      <c r="I138" s="1">
        <v>16800000</v>
      </c>
      <c r="J138" s="1">
        <v>9200000</v>
      </c>
    </row>
    <row r="139" spans="1:10" x14ac:dyDescent="0.25">
      <c r="A139" s="2">
        <v>45795</v>
      </c>
      <c r="B139" t="s">
        <v>11</v>
      </c>
      <c r="C139" t="s">
        <v>12</v>
      </c>
      <c r="D139" t="s">
        <v>2</v>
      </c>
      <c r="E139" s="1">
        <v>70</v>
      </c>
      <c r="F139" s="1">
        <v>115000</v>
      </c>
      <c r="G139" s="1">
        <v>8050000</v>
      </c>
      <c r="H139" s="1">
        <v>210000</v>
      </c>
      <c r="I139" s="1">
        <v>14700000</v>
      </c>
      <c r="J139" s="1">
        <v>6650000</v>
      </c>
    </row>
    <row r="140" spans="1:10" x14ac:dyDescent="0.25">
      <c r="A140" s="2">
        <v>45796</v>
      </c>
      <c r="B140" t="s">
        <v>11</v>
      </c>
      <c r="C140" t="s">
        <v>12</v>
      </c>
      <c r="D140" t="s">
        <v>0</v>
      </c>
      <c r="E140" s="1">
        <v>50</v>
      </c>
      <c r="F140" s="1">
        <v>95000</v>
      </c>
      <c r="G140" s="1">
        <v>4750000</v>
      </c>
      <c r="H140" s="1">
        <v>225000</v>
      </c>
      <c r="I140" s="1">
        <v>11250000</v>
      </c>
      <c r="J140" s="1">
        <v>6500000</v>
      </c>
    </row>
    <row r="141" spans="1:10" x14ac:dyDescent="0.25">
      <c r="A141" s="2">
        <v>45797</v>
      </c>
      <c r="B141" t="s">
        <v>13</v>
      </c>
      <c r="C141" t="s">
        <v>12</v>
      </c>
      <c r="D141" t="s">
        <v>10</v>
      </c>
      <c r="E141" s="1">
        <v>50</v>
      </c>
      <c r="F141" s="1">
        <v>115000</v>
      </c>
      <c r="G141" s="1">
        <v>5750000</v>
      </c>
      <c r="H141" s="1">
        <v>210000</v>
      </c>
      <c r="I141" s="1">
        <v>10500000</v>
      </c>
      <c r="J141" s="1">
        <v>4750000</v>
      </c>
    </row>
    <row r="142" spans="1:10" x14ac:dyDescent="0.25">
      <c r="A142" s="2">
        <v>45798</v>
      </c>
      <c r="B142" t="s">
        <v>14</v>
      </c>
      <c r="C142" t="s">
        <v>12</v>
      </c>
      <c r="D142" t="s">
        <v>2</v>
      </c>
      <c r="E142" s="1">
        <v>60</v>
      </c>
      <c r="F142" s="1">
        <v>195000</v>
      </c>
      <c r="G142" s="1">
        <v>11700000</v>
      </c>
      <c r="H142" s="1">
        <v>210000</v>
      </c>
      <c r="I142" s="1">
        <v>12600000</v>
      </c>
      <c r="J142" s="1">
        <v>900000</v>
      </c>
    </row>
    <row r="143" spans="1:10" x14ac:dyDescent="0.25">
      <c r="A143" s="2">
        <v>45799</v>
      </c>
      <c r="B143" t="s">
        <v>14</v>
      </c>
      <c r="C143" t="s">
        <v>12</v>
      </c>
      <c r="D143" t="s">
        <v>0</v>
      </c>
      <c r="E143" s="1">
        <v>60</v>
      </c>
      <c r="F143" s="1">
        <v>165000</v>
      </c>
      <c r="G143" s="1">
        <v>9900000</v>
      </c>
      <c r="H143" s="1">
        <v>225000</v>
      </c>
      <c r="I143" s="1">
        <v>13500000</v>
      </c>
      <c r="J143" s="1">
        <v>3600000</v>
      </c>
    </row>
    <row r="144" spans="1:10" x14ac:dyDescent="0.25">
      <c r="A144" s="2">
        <v>45800</v>
      </c>
      <c r="B144" t="s">
        <v>11</v>
      </c>
      <c r="C144" t="s">
        <v>12</v>
      </c>
      <c r="D144" t="s">
        <v>10</v>
      </c>
      <c r="E144" s="1">
        <v>70</v>
      </c>
      <c r="F144" s="1">
        <v>125000</v>
      </c>
      <c r="G144" s="1">
        <v>8750000</v>
      </c>
      <c r="H144" s="1">
        <v>210000</v>
      </c>
      <c r="I144" s="1">
        <v>14700000</v>
      </c>
      <c r="J144" s="1">
        <v>5950000</v>
      </c>
    </row>
    <row r="145" spans="1:10" x14ac:dyDescent="0.25">
      <c r="A145" s="2">
        <v>45801</v>
      </c>
      <c r="B145" t="s">
        <v>11</v>
      </c>
      <c r="C145" t="s">
        <v>12</v>
      </c>
      <c r="D145" t="s">
        <v>2</v>
      </c>
      <c r="E145" s="1">
        <v>40</v>
      </c>
      <c r="F145" s="1">
        <v>205000</v>
      </c>
      <c r="G145" s="1">
        <v>8200000</v>
      </c>
      <c r="H145" s="1">
        <v>210000</v>
      </c>
      <c r="I145" s="1">
        <v>8400000</v>
      </c>
      <c r="J145" s="1">
        <v>200000</v>
      </c>
    </row>
    <row r="146" spans="1:10" x14ac:dyDescent="0.25">
      <c r="A146" s="2">
        <v>45802</v>
      </c>
      <c r="B146" t="s">
        <v>11</v>
      </c>
      <c r="C146" t="s">
        <v>15</v>
      </c>
      <c r="D146" t="s">
        <v>0</v>
      </c>
      <c r="E146" s="1">
        <v>80</v>
      </c>
      <c r="F146" s="1">
        <v>205000</v>
      </c>
      <c r="G146" s="1">
        <v>16400000</v>
      </c>
      <c r="H146" s="1">
        <v>225000</v>
      </c>
      <c r="I146" s="1">
        <v>18000000</v>
      </c>
      <c r="J146" s="1">
        <v>1600000</v>
      </c>
    </row>
    <row r="147" spans="1:10" x14ac:dyDescent="0.25">
      <c r="A147" s="2">
        <v>45803</v>
      </c>
      <c r="B147" t="s">
        <v>11</v>
      </c>
      <c r="C147" t="s">
        <v>15</v>
      </c>
      <c r="D147" t="s">
        <v>10</v>
      </c>
      <c r="E147" s="1">
        <v>80</v>
      </c>
      <c r="F147" s="1">
        <v>135000</v>
      </c>
      <c r="G147" s="1">
        <v>10800000</v>
      </c>
      <c r="H147" s="1">
        <v>210000</v>
      </c>
      <c r="I147" s="1">
        <v>16800000</v>
      </c>
      <c r="J147" s="1">
        <v>6000000</v>
      </c>
    </row>
    <row r="148" spans="1:10" x14ac:dyDescent="0.25">
      <c r="A148" s="2">
        <v>45804</v>
      </c>
      <c r="B148" t="s">
        <v>11</v>
      </c>
      <c r="C148" t="s">
        <v>15</v>
      </c>
      <c r="D148" t="s">
        <v>2</v>
      </c>
      <c r="E148" s="1">
        <v>70</v>
      </c>
      <c r="F148" s="1">
        <v>205000</v>
      </c>
      <c r="G148" s="1">
        <v>14350000</v>
      </c>
      <c r="H148" s="1">
        <v>210000</v>
      </c>
      <c r="I148" s="1">
        <v>14700000</v>
      </c>
      <c r="J148" s="1">
        <v>350000</v>
      </c>
    </row>
    <row r="149" spans="1:10" x14ac:dyDescent="0.25">
      <c r="A149" s="2">
        <v>45805</v>
      </c>
      <c r="B149" t="s">
        <v>11</v>
      </c>
      <c r="C149" t="s">
        <v>15</v>
      </c>
      <c r="D149" t="s">
        <v>0</v>
      </c>
      <c r="E149" s="1">
        <v>70</v>
      </c>
      <c r="F149" s="1">
        <v>105000</v>
      </c>
      <c r="G149" s="1">
        <v>7350000</v>
      </c>
      <c r="H149" s="1">
        <v>225000</v>
      </c>
      <c r="I149" s="1">
        <v>15750000</v>
      </c>
      <c r="J149" s="1">
        <v>8400000</v>
      </c>
    </row>
    <row r="150" spans="1:10" x14ac:dyDescent="0.25">
      <c r="A150" s="2">
        <v>45806</v>
      </c>
      <c r="B150" t="s">
        <v>11</v>
      </c>
      <c r="C150" t="s">
        <v>16</v>
      </c>
      <c r="D150" t="s">
        <v>10</v>
      </c>
      <c r="E150" s="1">
        <v>60</v>
      </c>
      <c r="F150" s="1">
        <v>135000</v>
      </c>
      <c r="G150" s="1">
        <v>8100000</v>
      </c>
      <c r="H150" s="1">
        <v>210000</v>
      </c>
      <c r="I150" s="1">
        <v>12600000</v>
      </c>
      <c r="J150" s="1">
        <v>4500000</v>
      </c>
    </row>
    <row r="151" spans="1:10" x14ac:dyDescent="0.25">
      <c r="A151" s="2">
        <v>45807</v>
      </c>
      <c r="B151" t="s">
        <v>13</v>
      </c>
      <c r="C151" t="s">
        <v>16</v>
      </c>
      <c r="D151" t="s">
        <v>2</v>
      </c>
      <c r="E151" s="1">
        <v>60</v>
      </c>
      <c r="F151" s="1">
        <v>105000</v>
      </c>
      <c r="G151" s="1">
        <v>6300000</v>
      </c>
      <c r="H151" s="1">
        <v>210000</v>
      </c>
      <c r="I151" s="1">
        <v>12600000</v>
      </c>
      <c r="J151" s="1">
        <v>6300000</v>
      </c>
    </row>
    <row r="152" spans="1:10" x14ac:dyDescent="0.25">
      <c r="A152" s="2">
        <v>45808</v>
      </c>
      <c r="B152" t="s">
        <v>14</v>
      </c>
      <c r="C152" t="s">
        <v>16</v>
      </c>
      <c r="D152" t="s">
        <v>0</v>
      </c>
      <c r="E152" s="1">
        <v>90</v>
      </c>
      <c r="F152" s="1">
        <v>175000</v>
      </c>
      <c r="G152" s="1">
        <v>15750000</v>
      </c>
      <c r="H152" s="1">
        <v>225000</v>
      </c>
      <c r="I152" s="1">
        <v>20250000</v>
      </c>
      <c r="J152" s="1">
        <v>4500000</v>
      </c>
    </row>
    <row r="153" spans="1:10" x14ac:dyDescent="0.25">
      <c r="A153" s="2">
        <v>45809</v>
      </c>
      <c r="B153" t="s">
        <v>14</v>
      </c>
      <c r="C153" t="s">
        <v>16</v>
      </c>
      <c r="D153" t="s">
        <v>10</v>
      </c>
      <c r="E153" s="1">
        <v>50</v>
      </c>
      <c r="F153" s="1">
        <v>175000</v>
      </c>
      <c r="G153" s="1">
        <v>8750000</v>
      </c>
      <c r="H153" s="1">
        <v>210000</v>
      </c>
      <c r="I153" s="1">
        <v>10500000</v>
      </c>
      <c r="J153" s="1">
        <v>1750000</v>
      </c>
    </row>
    <row r="154" spans="1:10" x14ac:dyDescent="0.25">
      <c r="A154" s="2">
        <v>45810</v>
      </c>
      <c r="B154" t="s">
        <v>11</v>
      </c>
      <c r="C154" t="s">
        <v>12</v>
      </c>
      <c r="D154" t="s">
        <v>2</v>
      </c>
      <c r="E154" s="1">
        <v>60</v>
      </c>
      <c r="F154" s="1">
        <v>115000</v>
      </c>
      <c r="G154" s="1">
        <v>6900000</v>
      </c>
      <c r="H154" s="1">
        <v>210000</v>
      </c>
      <c r="I154" s="1">
        <v>12600000</v>
      </c>
      <c r="J154" s="1">
        <v>5700000</v>
      </c>
    </row>
    <row r="155" spans="1:10" x14ac:dyDescent="0.25">
      <c r="A155" s="2">
        <v>45811</v>
      </c>
      <c r="B155" t="s">
        <v>11</v>
      </c>
      <c r="C155" t="s">
        <v>12</v>
      </c>
      <c r="D155" t="s">
        <v>0</v>
      </c>
      <c r="E155" s="1">
        <v>50</v>
      </c>
      <c r="F155" s="1">
        <v>175000</v>
      </c>
      <c r="G155" s="1">
        <v>8750000</v>
      </c>
      <c r="H155" s="1">
        <v>225000</v>
      </c>
      <c r="I155" s="1">
        <v>11250000</v>
      </c>
      <c r="J155" s="1">
        <v>2500000</v>
      </c>
    </row>
    <row r="156" spans="1:10" x14ac:dyDescent="0.25">
      <c r="A156" s="2">
        <v>45812</v>
      </c>
      <c r="B156" t="s">
        <v>11</v>
      </c>
      <c r="C156" t="s">
        <v>12</v>
      </c>
      <c r="D156" t="s">
        <v>10</v>
      </c>
      <c r="E156" s="1">
        <v>90</v>
      </c>
      <c r="F156" s="1">
        <v>135000</v>
      </c>
      <c r="G156" s="1">
        <v>12150000</v>
      </c>
      <c r="H156" s="1">
        <v>210000</v>
      </c>
      <c r="I156" s="1">
        <v>18900000</v>
      </c>
      <c r="J156" s="1">
        <v>6750000</v>
      </c>
    </row>
    <row r="157" spans="1:10" x14ac:dyDescent="0.25">
      <c r="A157" s="2">
        <v>45813</v>
      </c>
      <c r="B157" t="s">
        <v>11</v>
      </c>
      <c r="C157" t="s">
        <v>12</v>
      </c>
      <c r="D157" t="s">
        <v>2</v>
      </c>
      <c r="E157" s="1">
        <v>50</v>
      </c>
      <c r="F157" s="1">
        <v>165000</v>
      </c>
      <c r="G157" s="1">
        <v>8250000</v>
      </c>
      <c r="H157" s="1">
        <v>210000</v>
      </c>
      <c r="I157" s="1">
        <v>10500000</v>
      </c>
      <c r="J157" s="1">
        <v>2250000</v>
      </c>
    </row>
    <row r="158" spans="1:10" x14ac:dyDescent="0.25">
      <c r="A158" s="2">
        <v>45814</v>
      </c>
      <c r="B158" t="s">
        <v>11</v>
      </c>
      <c r="C158" t="s">
        <v>12</v>
      </c>
      <c r="D158" t="s">
        <v>0</v>
      </c>
      <c r="E158" s="1">
        <v>50</v>
      </c>
      <c r="F158" s="1">
        <v>145000</v>
      </c>
      <c r="G158" s="1">
        <v>7250000</v>
      </c>
      <c r="H158" s="1">
        <v>225000</v>
      </c>
      <c r="I158" s="1">
        <v>11250000</v>
      </c>
      <c r="J158" s="1">
        <v>4000000</v>
      </c>
    </row>
    <row r="159" spans="1:10" x14ac:dyDescent="0.25">
      <c r="A159" s="2">
        <v>45815</v>
      </c>
      <c r="B159" t="s">
        <v>11</v>
      </c>
      <c r="C159" t="s">
        <v>12</v>
      </c>
      <c r="D159" t="s">
        <v>10</v>
      </c>
      <c r="E159" s="1">
        <v>40</v>
      </c>
      <c r="F159" s="1">
        <v>145000</v>
      </c>
      <c r="G159" s="1">
        <v>5800000</v>
      </c>
      <c r="H159" s="1">
        <v>210000</v>
      </c>
      <c r="I159" s="1">
        <v>8400000</v>
      </c>
      <c r="J159" s="1">
        <v>2600000</v>
      </c>
    </row>
    <row r="160" spans="1:10" x14ac:dyDescent="0.25">
      <c r="A160" s="2">
        <v>45816</v>
      </c>
      <c r="B160" t="s">
        <v>11</v>
      </c>
      <c r="C160" t="s">
        <v>12</v>
      </c>
      <c r="D160" t="s">
        <v>2</v>
      </c>
      <c r="E160" s="1">
        <v>70</v>
      </c>
      <c r="F160" s="1">
        <v>105000</v>
      </c>
      <c r="G160" s="1">
        <v>7350000</v>
      </c>
      <c r="H160" s="1">
        <v>210000</v>
      </c>
      <c r="I160" s="1">
        <v>14700000</v>
      </c>
      <c r="J160" s="1">
        <v>7350000</v>
      </c>
    </row>
    <row r="161" spans="1:10" x14ac:dyDescent="0.25">
      <c r="A161" s="2">
        <v>45817</v>
      </c>
      <c r="B161" t="s">
        <v>13</v>
      </c>
      <c r="C161" t="s">
        <v>12</v>
      </c>
      <c r="D161" t="s">
        <v>0</v>
      </c>
      <c r="E161" s="1">
        <v>50</v>
      </c>
      <c r="F161" s="1">
        <v>135000</v>
      </c>
      <c r="G161" s="1">
        <v>6750000</v>
      </c>
      <c r="H161" s="1">
        <v>225000</v>
      </c>
      <c r="I161" s="1">
        <v>11250000</v>
      </c>
      <c r="J161" s="1">
        <v>4500000</v>
      </c>
    </row>
    <row r="162" spans="1:10" x14ac:dyDescent="0.25">
      <c r="A162" s="2">
        <v>45818</v>
      </c>
      <c r="B162" t="s">
        <v>14</v>
      </c>
      <c r="C162" t="s">
        <v>12</v>
      </c>
      <c r="D162" t="s">
        <v>10</v>
      </c>
      <c r="E162" s="1">
        <v>60</v>
      </c>
      <c r="F162" s="1">
        <v>145000</v>
      </c>
      <c r="G162" s="1">
        <v>8700000</v>
      </c>
      <c r="H162" s="1">
        <v>210000</v>
      </c>
      <c r="I162" s="1">
        <v>12600000</v>
      </c>
      <c r="J162" s="1">
        <v>3900000</v>
      </c>
    </row>
    <row r="163" spans="1:10" x14ac:dyDescent="0.25">
      <c r="A163" s="2">
        <v>45819</v>
      </c>
      <c r="B163" t="s">
        <v>14</v>
      </c>
      <c r="C163" t="s">
        <v>12</v>
      </c>
      <c r="D163" t="s">
        <v>2</v>
      </c>
      <c r="E163" s="1">
        <v>60</v>
      </c>
      <c r="F163" s="1">
        <v>105000</v>
      </c>
      <c r="G163" s="1">
        <v>6300000</v>
      </c>
      <c r="H163" s="1">
        <v>210000</v>
      </c>
      <c r="I163" s="1">
        <v>12600000</v>
      </c>
      <c r="J163" s="1">
        <v>6300000</v>
      </c>
    </row>
    <row r="164" spans="1:10" x14ac:dyDescent="0.25">
      <c r="A164" s="2">
        <v>45820</v>
      </c>
      <c r="B164" t="s">
        <v>11</v>
      </c>
      <c r="C164" t="s">
        <v>12</v>
      </c>
      <c r="D164" t="s">
        <v>0</v>
      </c>
      <c r="E164" s="1">
        <v>90</v>
      </c>
      <c r="F164" s="1">
        <v>155000</v>
      </c>
      <c r="G164" s="1">
        <v>13950000</v>
      </c>
      <c r="H164" s="1">
        <v>225000</v>
      </c>
      <c r="I164" s="1">
        <v>20250000</v>
      </c>
      <c r="J164" s="1">
        <v>6300000</v>
      </c>
    </row>
    <row r="165" spans="1:10" x14ac:dyDescent="0.25">
      <c r="A165" s="2">
        <v>45821</v>
      </c>
      <c r="B165" t="s">
        <v>11</v>
      </c>
      <c r="C165" t="s">
        <v>12</v>
      </c>
      <c r="D165" t="s">
        <v>10</v>
      </c>
      <c r="E165" s="1">
        <v>50</v>
      </c>
      <c r="F165" s="1">
        <v>145000</v>
      </c>
      <c r="G165" s="1">
        <v>7250000</v>
      </c>
      <c r="H165" s="1">
        <v>210000</v>
      </c>
      <c r="I165" s="1">
        <v>10500000</v>
      </c>
      <c r="J165" s="1">
        <v>3250000</v>
      </c>
    </row>
    <row r="166" spans="1:10" x14ac:dyDescent="0.25">
      <c r="A166" s="2">
        <v>45822</v>
      </c>
      <c r="B166" t="s">
        <v>11</v>
      </c>
      <c r="C166" t="s">
        <v>15</v>
      </c>
      <c r="D166" t="s">
        <v>2</v>
      </c>
      <c r="E166" s="1">
        <v>90</v>
      </c>
      <c r="F166" s="1">
        <v>115000</v>
      </c>
      <c r="G166" s="1">
        <v>10350000</v>
      </c>
      <c r="H166" s="1">
        <v>210000</v>
      </c>
      <c r="I166" s="1">
        <v>18900000</v>
      </c>
      <c r="J166" s="1">
        <v>8550000</v>
      </c>
    </row>
    <row r="167" spans="1:10" x14ac:dyDescent="0.25">
      <c r="A167" s="2">
        <v>45823</v>
      </c>
      <c r="B167" t="s">
        <v>11</v>
      </c>
      <c r="C167" t="s">
        <v>15</v>
      </c>
      <c r="D167" t="s">
        <v>0</v>
      </c>
      <c r="E167" s="1">
        <v>90</v>
      </c>
      <c r="F167" s="1">
        <v>105000</v>
      </c>
      <c r="G167" s="1">
        <v>9450000</v>
      </c>
      <c r="H167" s="1">
        <v>225000</v>
      </c>
      <c r="I167" s="1">
        <v>20250000</v>
      </c>
      <c r="J167" s="1">
        <v>10800000</v>
      </c>
    </row>
    <row r="168" spans="1:10" x14ac:dyDescent="0.25">
      <c r="A168" s="2">
        <v>45824</v>
      </c>
      <c r="B168" t="s">
        <v>11</v>
      </c>
      <c r="C168" t="s">
        <v>15</v>
      </c>
      <c r="D168" t="s">
        <v>10</v>
      </c>
      <c r="E168" s="1">
        <v>40</v>
      </c>
      <c r="F168" s="1">
        <v>165000</v>
      </c>
      <c r="G168" s="1">
        <v>6600000</v>
      </c>
      <c r="H168" s="1">
        <v>210000</v>
      </c>
      <c r="I168" s="1">
        <v>8400000</v>
      </c>
      <c r="J168" s="1">
        <v>1800000</v>
      </c>
    </row>
    <row r="169" spans="1:10" x14ac:dyDescent="0.25">
      <c r="A169" s="2">
        <v>45825</v>
      </c>
      <c r="B169" t="s">
        <v>11</v>
      </c>
      <c r="C169" t="s">
        <v>15</v>
      </c>
      <c r="D169" t="s">
        <v>2</v>
      </c>
      <c r="E169" s="1">
        <v>40</v>
      </c>
      <c r="F169" s="1">
        <v>95000</v>
      </c>
      <c r="G169" s="1">
        <v>3800000</v>
      </c>
      <c r="H169" s="1">
        <v>210000</v>
      </c>
      <c r="I169" s="1">
        <v>8400000</v>
      </c>
      <c r="J169" s="1">
        <v>4600000</v>
      </c>
    </row>
    <row r="170" spans="1:10" x14ac:dyDescent="0.25">
      <c r="A170" s="2">
        <v>45826</v>
      </c>
      <c r="B170" t="s">
        <v>11</v>
      </c>
      <c r="C170" t="s">
        <v>16</v>
      </c>
      <c r="D170" t="s">
        <v>0</v>
      </c>
      <c r="E170" s="1">
        <v>70</v>
      </c>
      <c r="F170" s="1">
        <v>215000</v>
      </c>
      <c r="G170" s="1">
        <v>15050000</v>
      </c>
      <c r="H170" s="1">
        <v>225000</v>
      </c>
      <c r="I170" s="1">
        <v>15750000</v>
      </c>
      <c r="J170" s="1">
        <v>700000</v>
      </c>
    </row>
    <row r="171" spans="1:10" x14ac:dyDescent="0.25">
      <c r="A171" s="2">
        <v>45827</v>
      </c>
      <c r="B171" t="s">
        <v>13</v>
      </c>
      <c r="C171" t="s">
        <v>16</v>
      </c>
      <c r="D171" t="s">
        <v>10</v>
      </c>
      <c r="E171" s="1">
        <v>90</v>
      </c>
      <c r="F171" s="1">
        <v>175000</v>
      </c>
      <c r="G171" s="1">
        <v>15750000</v>
      </c>
      <c r="H171" s="1">
        <v>210000</v>
      </c>
      <c r="I171" s="1">
        <v>18900000</v>
      </c>
      <c r="J171" s="1">
        <v>3150000</v>
      </c>
    </row>
    <row r="172" spans="1:10" x14ac:dyDescent="0.25">
      <c r="A172" s="2">
        <v>45828</v>
      </c>
      <c r="B172" t="s">
        <v>14</v>
      </c>
      <c r="C172" t="s">
        <v>16</v>
      </c>
      <c r="D172" t="s">
        <v>2</v>
      </c>
      <c r="E172" s="1">
        <v>60</v>
      </c>
      <c r="F172" s="1">
        <v>135000</v>
      </c>
      <c r="G172" s="1">
        <v>8100000</v>
      </c>
      <c r="H172" s="1">
        <v>210000</v>
      </c>
      <c r="I172" s="1">
        <v>12600000</v>
      </c>
      <c r="J172" s="1">
        <v>4500000</v>
      </c>
    </row>
    <row r="173" spans="1:10" x14ac:dyDescent="0.25">
      <c r="A173" s="2">
        <v>45829</v>
      </c>
      <c r="B173" t="s">
        <v>14</v>
      </c>
      <c r="C173" t="s">
        <v>16</v>
      </c>
      <c r="D173" t="s">
        <v>0</v>
      </c>
      <c r="E173" s="1">
        <v>50</v>
      </c>
      <c r="F173" s="1">
        <v>165000</v>
      </c>
      <c r="G173" s="1">
        <v>8250000</v>
      </c>
      <c r="H173" s="1">
        <v>225000</v>
      </c>
      <c r="I173" s="1">
        <v>11250000</v>
      </c>
      <c r="J173" s="1">
        <v>3000000</v>
      </c>
    </row>
    <row r="174" spans="1:10" x14ac:dyDescent="0.25">
      <c r="A174" s="2">
        <v>45830</v>
      </c>
      <c r="B174" t="s">
        <v>11</v>
      </c>
      <c r="C174" t="s">
        <v>12</v>
      </c>
      <c r="D174" t="s">
        <v>10</v>
      </c>
      <c r="E174" s="1">
        <v>50</v>
      </c>
      <c r="F174" s="1">
        <v>95000</v>
      </c>
      <c r="G174" s="1">
        <v>4750000</v>
      </c>
      <c r="H174" s="1">
        <v>210000</v>
      </c>
      <c r="I174" s="1">
        <v>10500000</v>
      </c>
      <c r="J174" s="1">
        <v>5750000</v>
      </c>
    </row>
    <row r="175" spans="1:10" x14ac:dyDescent="0.25">
      <c r="A175" s="2">
        <v>45831</v>
      </c>
      <c r="B175" t="s">
        <v>11</v>
      </c>
      <c r="C175" t="s">
        <v>12</v>
      </c>
      <c r="D175" t="s">
        <v>2</v>
      </c>
      <c r="E175" s="1">
        <v>80</v>
      </c>
      <c r="F175" s="1">
        <v>85000</v>
      </c>
      <c r="G175" s="1">
        <v>6800000</v>
      </c>
      <c r="H175" s="1">
        <v>210000</v>
      </c>
      <c r="I175" s="1">
        <v>16800000</v>
      </c>
      <c r="J175" s="1">
        <v>10000000</v>
      </c>
    </row>
    <row r="176" spans="1:10" x14ac:dyDescent="0.25">
      <c r="A176" s="2">
        <v>45832</v>
      </c>
      <c r="B176" t="s">
        <v>11</v>
      </c>
      <c r="C176" t="s">
        <v>12</v>
      </c>
      <c r="D176" t="s">
        <v>0</v>
      </c>
      <c r="E176" s="1">
        <v>80</v>
      </c>
      <c r="F176" s="1">
        <v>115000</v>
      </c>
      <c r="G176" s="1">
        <v>9200000</v>
      </c>
      <c r="H176" s="1">
        <v>225000</v>
      </c>
      <c r="I176" s="1">
        <v>18000000</v>
      </c>
      <c r="J176" s="1">
        <v>8800000</v>
      </c>
    </row>
    <row r="177" spans="1:10" x14ac:dyDescent="0.25">
      <c r="A177" s="2">
        <v>45833</v>
      </c>
      <c r="B177" t="s">
        <v>11</v>
      </c>
      <c r="C177" t="s">
        <v>12</v>
      </c>
      <c r="D177" t="s">
        <v>10</v>
      </c>
      <c r="E177" s="1">
        <v>70</v>
      </c>
      <c r="F177" s="1">
        <v>135000</v>
      </c>
      <c r="G177" s="1">
        <v>9450000</v>
      </c>
      <c r="H177" s="1">
        <v>210000</v>
      </c>
      <c r="I177" s="1">
        <v>14700000</v>
      </c>
      <c r="J177" s="1">
        <v>5250000</v>
      </c>
    </row>
    <row r="178" spans="1:10" x14ac:dyDescent="0.25">
      <c r="A178" s="2">
        <v>45834</v>
      </c>
      <c r="B178" t="s">
        <v>11</v>
      </c>
      <c r="C178" t="s">
        <v>12</v>
      </c>
      <c r="D178" t="s">
        <v>2</v>
      </c>
      <c r="E178" s="1">
        <v>60</v>
      </c>
      <c r="F178" s="1">
        <v>205000</v>
      </c>
      <c r="G178" s="1">
        <v>12300000</v>
      </c>
      <c r="H178" s="1">
        <v>210000</v>
      </c>
      <c r="I178" s="1">
        <v>12600000</v>
      </c>
      <c r="J178" s="1">
        <v>300000</v>
      </c>
    </row>
    <row r="179" spans="1:10" x14ac:dyDescent="0.25">
      <c r="A179" s="2">
        <v>45835</v>
      </c>
      <c r="B179" t="s">
        <v>11</v>
      </c>
      <c r="C179" t="s">
        <v>12</v>
      </c>
      <c r="D179" t="s">
        <v>0</v>
      </c>
      <c r="E179" s="1">
        <v>80</v>
      </c>
      <c r="F179" s="1">
        <v>165000</v>
      </c>
      <c r="G179" s="1">
        <v>13200000</v>
      </c>
      <c r="H179" s="1">
        <v>225000</v>
      </c>
      <c r="I179" s="1">
        <v>18000000</v>
      </c>
      <c r="J179" s="1">
        <v>4800000</v>
      </c>
    </row>
    <row r="180" spans="1:10" x14ac:dyDescent="0.25">
      <c r="A180" s="2">
        <v>45836</v>
      </c>
      <c r="B180" t="s">
        <v>11</v>
      </c>
      <c r="C180" t="s">
        <v>12</v>
      </c>
      <c r="D180" t="s">
        <v>10</v>
      </c>
      <c r="E180" s="1">
        <v>90</v>
      </c>
      <c r="F180" s="1">
        <v>95000</v>
      </c>
      <c r="G180" s="1">
        <v>8550000</v>
      </c>
      <c r="H180" s="1">
        <v>210000</v>
      </c>
      <c r="I180" s="1">
        <v>18900000</v>
      </c>
      <c r="J180" s="1">
        <v>10350000</v>
      </c>
    </row>
    <row r="181" spans="1:10" x14ac:dyDescent="0.25">
      <c r="A181" s="2">
        <v>45837</v>
      </c>
      <c r="B181" t="s">
        <v>13</v>
      </c>
      <c r="C181" t="s">
        <v>12</v>
      </c>
      <c r="D181" t="s">
        <v>2</v>
      </c>
      <c r="E181" s="1">
        <v>70</v>
      </c>
      <c r="F181" s="1">
        <v>155000</v>
      </c>
      <c r="G181" s="1">
        <v>10850000</v>
      </c>
      <c r="H181" s="1">
        <v>210000</v>
      </c>
      <c r="I181" s="1">
        <v>14700000</v>
      </c>
      <c r="J181" s="1">
        <v>3850000</v>
      </c>
    </row>
    <row r="182" spans="1:10" x14ac:dyDescent="0.25">
      <c r="A182" s="2">
        <v>45838</v>
      </c>
      <c r="B182" t="s">
        <v>14</v>
      </c>
      <c r="C182" t="s">
        <v>12</v>
      </c>
      <c r="D182" t="s">
        <v>0</v>
      </c>
      <c r="E182" s="1">
        <v>60</v>
      </c>
      <c r="F182" s="1">
        <v>135000</v>
      </c>
      <c r="G182" s="1">
        <v>8100000</v>
      </c>
      <c r="H182" s="1">
        <v>225000</v>
      </c>
      <c r="I182" s="1">
        <v>13500000</v>
      </c>
      <c r="J182" s="1">
        <v>5400000</v>
      </c>
    </row>
    <row r="183" spans="1:10" x14ac:dyDescent="0.25">
      <c r="A183" s="2">
        <v>45839</v>
      </c>
      <c r="B183" t="s">
        <v>14</v>
      </c>
      <c r="C183" t="s">
        <v>12</v>
      </c>
      <c r="D183" t="s">
        <v>10</v>
      </c>
      <c r="E183" s="1">
        <v>70</v>
      </c>
      <c r="F183" s="1">
        <v>115000</v>
      </c>
      <c r="G183" s="1">
        <v>8050000</v>
      </c>
      <c r="H183" s="1">
        <v>210000</v>
      </c>
      <c r="I183" s="1">
        <v>14700000</v>
      </c>
      <c r="J183" s="1">
        <v>6650000</v>
      </c>
    </row>
    <row r="184" spans="1:10" x14ac:dyDescent="0.25">
      <c r="A184" s="2">
        <v>45840</v>
      </c>
      <c r="B184" t="s">
        <v>11</v>
      </c>
      <c r="C184" t="s">
        <v>12</v>
      </c>
      <c r="D184" t="s">
        <v>2</v>
      </c>
      <c r="E184" s="1">
        <v>90</v>
      </c>
      <c r="F184" s="1">
        <v>165000</v>
      </c>
      <c r="G184" s="1">
        <v>14850000</v>
      </c>
      <c r="H184" s="1">
        <v>210000</v>
      </c>
      <c r="I184" s="1">
        <v>18900000</v>
      </c>
      <c r="J184" s="1">
        <v>4050000</v>
      </c>
    </row>
    <row r="185" spans="1:10" x14ac:dyDescent="0.25">
      <c r="A185" s="2">
        <v>45841</v>
      </c>
      <c r="B185" t="s">
        <v>11</v>
      </c>
      <c r="C185" t="s">
        <v>12</v>
      </c>
      <c r="D185" t="s">
        <v>0</v>
      </c>
      <c r="E185" s="1">
        <v>60</v>
      </c>
      <c r="F185" s="1">
        <v>105000</v>
      </c>
      <c r="G185" s="1">
        <v>6300000</v>
      </c>
      <c r="H185" s="1">
        <v>225000</v>
      </c>
      <c r="I185" s="1">
        <v>13500000</v>
      </c>
      <c r="J185" s="1">
        <v>7200000</v>
      </c>
    </row>
    <row r="186" spans="1:10" x14ac:dyDescent="0.25">
      <c r="A186" s="2">
        <v>45842</v>
      </c>
      <c r="B186" t="s">
        <v>11</v>
      </c>
      <c r="C186" t="s">
        <v>15</v>
      </c>
      <c r="D186" t="s">
        <v>10</v>
      </c>
      <c r="E186" s="1">
        <v>80</v>
      </c>
      <c r="F186" s="1">
        <v>165000</v>
      </c>
      <c r="G186" s="1">
        <v>13200000</v>
      </c>
      <c r="H186" s="1">
        <v>210000</v>
      </c>
      <c r="I186" s="1">
        <v>16800000</v>
      </c>
      <c r="J186" s="1">
        <v>3600000</v>
      </c>
    </row>
    <row r="187" spans="1:10" x14ac:dyDescent="0.25">
      <c r="A187" s="2">
        <v>45843</v>
      </c>
      <c r="B187" t="s">
        <v>11</v>
      </c>
      <c r="C187" t="s">
        <v>15</v>
      </c>
      <c r="D187" t="s">
        <v>2</v>
      </c>
      <c r="E187" s="1">
        <v>80</v>
      </c>
      <c r="F187" s="1">
        <v>195000</v>
      </c>
      <c r="G187" s="1">
        <v>15600000</v>
      </c>
      <c r="H187" s="1">
        <v>210000</v>
      </c>
      <c r="I187" s="1">
        <v>16800000</v>
      </c>
      <c r="J187" s="1">
        <v>1200000</v>
      </c>
    </row>
    <row r="188" spans="1:10" x14ac:dyDescent="0.25">
      <c r="A188" s="2">
        <v>45844</v>
      </c>
      <c r="B188" t="s">
        <v>11</v>
      </c>
      <c r="C188" t="s">
        <v>15</v>
      </c>
      <c r="D188" t="s">
        <v>0</v>
      </c>
      <c r="E188" s="1">
        <v>70</v>
      </c>
      <c r="F188" s="1">
        <v>105000</v>
      </c>
      <c r="G188" s="1">
        <v>7350000</v>
      </c>
      <c r="H188" s="1">
        <v>225000</v>
      </c>
      <c r="I188" s="1">
        <v>15750000</v>
      </c>
      <c r="J188" s="1">
        <v>8400000</v>
      </c>
    </row>
    <row r="189" spans="1:10" x14ac:dyDescent="0.25">
      <c r="A189" s="2">
        <v>45845</v>
      </c>
      <c r="B189" t="s">
        <v>11</v>
      </c>
      <c r="C189" t="s">
        <v>15</v>
      </c>
      <c r="D189" t="s">
        <v>10</v>
      </c>
      <c r="E189" s="1">
        <v>60</v>
      </c>
      <c r="F189" s="1">
        <v>165000</v>
      </c>
      <c r="G189" s="1">
        <v>9900000</v>
      </c>
      <c r="H189" s="1">
        <v>210000</v>
      </c>
      <c r="I189" s="1">
        <v>12600000</v>
      </c>
      <c r="J189" s="1">
        <v>2700000</v>
      </c>
    </row>
    <row r="190" spans="1:10" x14ac:dyDescent="0.25">
      <c r="A190" s="2">
        <v>45846</v>
      </c>
      <c r="B190" t="s">
        <v>11</v>
      </c>
      <c r="C190" t="s">
        <v>16</v>
      </c>
      <c r="D190" t="s">
        <v>2</v>
      </c>
      <c r="E190" s="1">
        <v>90</v>
      </c>
      <c r="F190" s="1">
        <v>195000</v>
      </c>
      <c r="G190" s="1">
        <v>17550000</v>
      </c>
      <c r="H190" s="1">
        <v>210000</v>
      </c>
      <c r="I190" s="1">
        <v>18900000</v>
      </c>
      <c r="J190" s="1">
        <v>1350000</v>
      </c>
    </row>
    <row r="191" spans="1:10" x14ac:dyDescent="0.25">
      <c r="A191" s="2">
        <v>45847</v>
      </c>
      <c r="B191" t="s">
        <v>13</v>
      </c>
      <c r="C191" t="s">
        <v>16</v>
      </c>
      <c r="D191" t="s">
        <v>0</v>
      </c>
      <c r="E191" s="1">
        <v>60</v>
      </c>
      <c r="F191" s="1">
        <v>165000</v>
      </c>
      <c r="G191" s="1">
        <v>9900000</v>
      </c>
      <c r="H191" s="1">
        <v>225000</v>
      </c>
      <c r="I191" s="1">
        <v>13500000</v>
      </c>
      <c r="J191" s="1">
        <v>3600000</v>
      </c>
    </row>
    <row r="192" spans="1:10" x14ac:dyDescent="0.25">
      <c r="A192" s="2">
        <v>45848</v>
      </c>
      <c r="B192" t="s">
        <v>14</v>
      </c>
      <c r="C192" t="s">
        <v>16</v>
      </c>
      <c r="D192" t="s">
        <v>10</v>
      </c>
      <c r="E192" s="1">
        <v>40</v>
      </c>
      <c r="F192" s="1">
        <v>185000</v>
      </c>
      <c r="G192" s="1">
        <v>7400000</v>
      </c>
      <c r="H192" s="1">
        <v>210000</v>
      </c>
      <c r="I192" s="1">
        <v>8400000</v>
      </c>
      <c r="J192" s="1">
        <v>1000000</v>
      </c>
    </row>
    <row r="193" spans="1:10" x14ac:dyDescent="0.25">
      <c r="A193" s="2">
        <v>45849</v>
      </c>
      <c r="B193" t="s">
        <v>14</v>
      </c>
      <c r="C193" t="s">
        <v>16</v>
      </c>
      <c r="D193" t="s">
        <v>2</v>
      </c>
      <c r="E193" s="1">
        <v>80</v>
      </c>
      <c r="F193" s="1">
        <v>165000</v>
      </c>
      <c r="G193" s="1">
        <v>13200000</v>
      </c>
      <c r="H193" s="1">
        <v>210000</v>
      </c>
      <c r="I193" s="1">
        <v>16800000</v>
      </c>
      <c r="J193" s="1">
        <v>3600000</v>
      </c>
    </row>
    <row r="194" spans="1:10" x14ac:dyDescent="0.25">
      <c r="A194" s="2">
        <v>45850</v>
      </c>
      <c r="B194" t="s">
        <v>11</v>
      </c>
      <c r="C194" t="s">
        <v>12</v>
      </c>
      <c r="D194" t="s">
        <v>0</v>
      </c>
      <c r="E194" s="1">
        <v>50</v>
      </c>
      <c r="F194" s="1">
        <v>185000</v>
      </c>
      <c r="G194" s="1">
        <v>9250000</v>
      </c>
      <c r="H194" s="1">
        <v>225000</v>
      </c>
      <c r="I194" s="1">
        <v>11250000</v>
      </c>
      <c r="J194" s="1">
        <v>2000000</v>
      </c>
    </row>
    <row r="195" spans="1:10" x14ac:dyDescent="0.25">
      <c r="A195" s="2">
        <v>45851</v>
      </c>
      <c r="B195" t="s">
        <v>11</v>
      </c>
      <c r="C195" t="s">
        <v>12</v>
      </c>
      <c r="D195" t="s">
        <v>10</v>
      </c>
      <c r="E195" s="1">
        <v>80</v>
      </c>
      <c r="F195" s="1">
        <v>205000</v>
      </c>
      <c r="G195" s="1">
        <v>16400000</v>
      </c>
      <c r="H195" s="1">
        <v>210000</v>
      </c>
      <c r="I195" s="1">
        <v>16800000</v>
      </c>
      <c r="J195" s="1">
        <v>400000</v>
      </c>
    </row>
    <row r="196" spans="1:10" x14ac:dyDescent="0.25">
      <c r="A196" s="2">
        <v>45852</v>
      </c>
      <c r="B196" t="s">
        <v>11</v>
      </c>
      <c r="C196" t="s">
        <v>12</v>
      </c>
      <c r="D196" t="s">
        <v>2</v>
      </c>
      <c r="E196" s="1">
        <v>80</v>
      </c>
      <c r="F196" s="1">
        <v>185000</v>
      </c>
      <c r="G196" s="1">
        <v>14800000</v>
      </c>
      <c r="H196" s="1">
        <v>210000</v>
      </c>
      <c r="I196" s="1">
        <v>16800000</v>
      </c>
      <c r="J196" s="1">
        <v>2000000</v>
      </c>
    </row>
    <row r="197" spans="1:10" x14ac:dyDescent="0.25">
      <c r="A197" s="2">
        <v>45853</v>
      </c>
      <c r="B197" t="s">
        <v>11</v>
      </c>
      <c r="C197" t="s">
        <v>12</v>
      </c>
      <c r="D197" t="s">
        <v>0</v>
      </c>
      <c r="E197" s="1">
        <v>60</v>
      </c>
      <c r="F197" s="1">
        <v>105000</v>
      </c>
      <c r="G197" s="1">
        <v>6300000</v>
      </c>
      <c r="H197" s="1">
        <v>225000</v>
      </c>
      <c r="I197" s="1">
        <v>13500000</v>
      </c>
      <c r="J197" s="1">
        <v>7200000</v>
      </c>
    </row>
    <row r="198" spans="1:10" x14ac:dyDescent="0.25">
      <c r="A198" s="2">
        <v>45854</v>
      </c>
      <c r="B198" t="s">
        <v>11</v>
      </c>
      <c r="C198" t="s">
        <v>12</v>
      </c>
      <c r="D198" t="s">
        <v>10</v>
      </c>
      <c r="E198" s="1">
        <v>40</v>
      </c>
      <c r="F198" s="1">
        <v>165000</v>
      </c>
      <c r="G198" s="1">
        <v>6600000</v>
      </c>
      <c r="H198" s="1">
        <v>210000</v>
      </c>
      <c r="I198" s="1">
        <v>8400000</v>
      </c>
      <c r="J198" s="1">
        <v>1800000</v>
      </c>
    </row>
    <row r="199" spans="1:10" x14ac:dyDescent="0.25">
      <c r="A199" s="2">
        <v>45855</v>
      </c>
      <c r="B199" t="s">
        <v>11</v>
      </c>
      <c r="C199" t="s">
        <v>12</v>
      </c>
      <c r="D199" t="s">
        <v>2</v>
      </c>
      <c r="E199" s="1">
        <v>50</v>
      </c>
      <c r="F199" s="1">
        <v>115000</v>
      </c>
      <c r="G199" s="1">
        <v>5750000</v>
      </c>
      <c r="H199" s="1">
        <v>210000</v>
      </c>
      <c r="I199" s="1">
        <v>10500000</v>
      </c>
      <c r="J199" s="1">
        <v>4750000</v>
      </c>
    </row>
    <row r="200" spans="1:10" x14ac:dyDescent="0.25">
      <c r="A200" s="2">
        <v>45856</v>
      </c>
      <c r="B200" t="s">
        <v>11</v>
      </c>
      <c r="C200" t="s">
        <v>12</v>
      </c>
      <c r="D200" t="s">
        <v>0</v>
      </c>
      <c r="E200" s="1">
        <v>60</v>
      </c>
      <c r="F200" s="1">
        <v>165000</v>
      </c>
      <c r="G200" s="1">
        <v>9900000</v>
      </c>
      <c r="H200" s="1">
        <v>225000</v>
      </c>
      <c r="I200" s="1">
        <v>13500000</v>
      </c>
      <c r="J200" s="1">
        <v>3600000</v>
      </c>
    </row>
    <row r="201" spans="1:10" x14ac:dyDescent="0.25">
      <c r="A201" s="2">
        <v>45857</v>
      </c>
      <c r="B201" t="s">
        <v>13</v>
      </c>
      <c r="C201" t="s">
        <v>12</v>
      </c>
      <c r="D201" t="s">
        <v>10</v>
      </c>
      <c r="E201" s="1">
        <v>80</v>
      </c>
      <c r="F201" s="1">
        <v>195000</v>
      </c>
      <c r="G201" s="1">
        <v>15600000</v>
      </c>
      <c r="H201" s="1">
        <v>210000</v>
      </c>
      <c r="I201" s="1">
        <v>16800000</v>
      </c>
      <c r="J201" s="1">
        <v>1200000</v>
      </c>
    </row>
    <row r="202" spans="1:10" x14ac:dyDescent="0.25">
      <c r="A202" s="2">
        <v>45858</v>
      </c>
      <c r="B202" t="s">
        <v>14</v>
      </c>
      <c r="C202" t="s">
        <v>12</v>
      </c>
      <c r="D202" t="s">
        <v>2</v>
      </c>
      <c r="E202" s="1">
        <v>90</v>
      </c>
      <c r="F202" s="1">
        <v>125000</v>
      </c>
      <c r="G202" s="1">
        <v>11250000</v>
      </c>
      <c r="H202" s="1">
        <v>210000</v>
      </c>
      <c r="I202" s="1">
        <v>18900000</v>
      </c>
      <c r="J202" s="1">
        <v>7650000</v>
      </c>
    </row>
    <row r="203" spans="1:10" x14ac:dyDescent="0.25">
      <c r="A203" s="2">
        <v>45859</v>
      </c>
      <c r="B203" t="s">
        <v>14</v>
      </c>
      <c r="C203" t="s">
        <v>12</v>
      </c>
      <c r="D203" t="s">
        <v>0</v>
      </c>
      <c r="E203" s="1">
        <v>80</v>
      </c>
      <c r="F203" s="1">
        <v>115000</v>
      </c>
      <c r="G203" s="1">
        <v>9200000</v>
      </c>
      <c r="H203" s="1">
        <v>225000</v>
      </c>
      <c r="I203" s="1">
        <v>18000000</v>
      </c>
      <c r="J203" s="1">
        <v>8800000</v>
      </c>
    </row>
    <row r="204" spans="1:10" x14ac:dyDescent="0.25">
      <c r="A204" s="2">
        <v>45860</v>
      </c>
      <c r="B204" t="s">
        <v>11</v>
      </c>
      <c r="C204" t="s">
        <v>12</v>
      </c>
      <c r="D204" t="s">
        <v>10</v>
      </c>
      <c r="E204" s="1">
        <v>60</v>
      </c>
      <c r="F204" s="1">
        <v>155000</v>
      </c>
      <c r="G204" s="1">
        <v>9300000</v>
      </c>
      <c r="H204" s="1">
        <v>210000</v>
      </c>
      <c r="I204" s="1">
        <v>12600000</v>
      </c>
      <c r="J204" s="1">
        <v>3300000</v>
      </c>
    </row>
    <row r="205" spans="1:10" x14ac:dyDescent="0.25">
      <c r="A205" s="2">
        <v>45861</v>
      </c>
      <c r="B205" t="s">
        <v>11</v>
      </c>
      <c r="C205" t="s">
        <v>12</v>
      </c>
      <c r="D205" t="s">
        <v>2</v>
      </c>
      <c r="E205" s="1">
        <v>60</v>
      </c>
      <c r="F205" s="1">
        <v>145000</v>
      </c>
      <c r="G205" s="1">
        <v>8700000</v>
      </c>
      <c r="H205" s="1">
        <v>210000</v>
      </c>
      <c r="I205" s="1">
        <v>12600000</v>
      </c>
      <c r="J205" s="1">
        <v>3900000</v>
      </c>
    </row>
    <row r="206" spans="1:10" x14ac:dyDescent="0.25">
      <c r="A206" s="2">
        <v>45862</v>
      </c>
      <c r="B206" t="s">
        <v>11</v>
      </c>
      <c r="C206" t="s">
        <v>15</v>
      </c>
      <c r="D206" t="s">
        <v>0</v>
      </c>
      <c r="E206" s="1">
        <v>60</v>
      </c>
      <c r="F206" s="1">
        <v>115000</v>
      </c>
      <c r="G206" s="1">
        <v>6900000</v>
      </c>
      <c r="H206" s="1">
        <v>225000</v>
      </c>
      <c r="I206" s="1">
        <v>13500000</v>
      </c>
      <c r="J206" s="1">
        <v>6600000</v>
      </c>
    </row>
    <row r="207" spans="1:10" x14ac:dyDescent="0.25">
      <c r="A207" s="2">
        <v>45863</v>
      </c>
      <c r="B207" t="s">
        <v>11</v>
      </c>
      <c r="C207" t="s">
        <v>15</v>
      </c>
      <c r="D207" t="s">
        <v>10</v>
      </c>
      <c r="E207" s="1">
        <v>70</v>
      </c>
      <c r="F207" s="1">
        <v>155000</v>
      </c>
      <c r="G207" s="1">
        <v>10850000</v>
      </c>
      <c r="H207" s="1">
        <v>210000</v>
      </c>
      <c r="I207" s="1">
        <v>14700000</v>
      </c>
      <c r="J207" s="1">
        <v>3850000</v>
      </c>
    </row>
    <row r="208" spans="1:10" x14ac:dyDescent="0.25">
      <c r="A208" s="2">
        <v>45864</v>
      </c>
      <c r="B208" t="s">
        <v>11</v>
      </c>
      <c r="C208" t="s">
        <v>15</v>
      </c>
      <c r="D208" t="s">
        <v>2</v>
      </c>
      <c r="E208" s="1">
        <v>50</v>
      </c>
      <c r="F208" s="1">
        <v>155000</v>
      </c>
      <c r="G208" s="1">
        <v>7750000</v>
      </c>
      <c r="H208" s="1">
        <v>210000</v>
      </c>
      <c r="I208" s="1">
        <v>10500000</v>
      </c>
      <c r="J208" s="1">
        <v>2750000</v>
      </c>
    </row>
    <row r="209" spans="1:10" x14ac:dyDescent="0.25">
      <c r="A209" s="2">
        <v>45865</v>
      </c>
      <c r="B209" t="s">
        <v>11</v>
      </c>
      <c r="C209" t="s">
        <v>15</v>
      </c>
      <c r="D209" t="s">
        <v>0</v>
      </c>
      <c r="E209" s="1">
        <v>50</v>
      </c>
      <c r="F209" s="1">
        <v>105000</v>
      </c>
      <c r="G209" s="1">
        <v>5250000</v>
      </c>
      <c r="H209" s="1">
        <v>225000</v>
      </c>
      <c r="I209" s="1">
        <v>11250000</v>
      </c>
      <c r="J209" s="1">
        <v>6000000</v>
      </c>
    </row>
    <row r="210" spans="1:10" x14ac:dyDescent="0.25">
      <c r="A210" s="2">
        <v>45866</v>
      </c>
      <c r="B210" t="s">
        <v>11</v>
      </c>
      <c r="C210" t="s">
        <v>16</v>
      </c>
      <c r="D210" t="s">
        <v>10</v>
      </c>
      <c r="E210" s="1">
        <v>80</v>
      </c>
      <c r="F210" s="1">
        <v>155000</v>
      </c>
      <c r="G210" s="1">
        <v>12400000</v>
      </c>
      <c r="H210" s="1">
        <v>210000</v>
      </c>
      <c r="I210" s="1">
        <v>16800000</v>
      </c>
      <c r="J210" s="1">
        <v>4400000</v>
      </c>
    </row>
    <row r="211" spans="1:10" x14ac:dyDescent="0.25">
      <c r="A211" s="2">
        <v>45867</v>
      </c>
      <c r="B211" t="s">
        <v>13</v>
      </c>
      <c r="C211" t="s">
        <v>16</v>
      </c>
      <c r="D211" t="s">
        <v>2</v>
      </c>
      <c r="E211" s="1">
        <v>70</v>
      </c>
      <c r="F211" s="1">
        <v>205000</v>
      </c>
      <c r="G211" s="1">
        <v>14350000</v>
      </c>
      <c r="H211" s="1">
        <v>210000</v>
      </c>
      <c r="I211" s="1">
        <v>14700000</v>
      </c>
      <c r="J211" s="1">
        <v>350000</v>
      </c>
    </row>
    <row r="212" spans="1:10" x14ac:dyDescent="0.25">
      <c r="A212" s="2">
        <v>45868</v>
      </c>
      <c r="B212" t="s">
        <v>14</v>
      </c>
      <c r="C212" t="s">
        <v>16</v>
      </c>
      <c r="D212" t="s">
        <v>0</v>
      </c>
      <c r="E212" s="1">
        <v>60</v>
      </c>
      <c r="F212" s="1">
        <v>195000</v>
      </c>
      <c r="G212" s="1">
        <v>11700000</v>
      </c>
      <c r="H212" s="1">
        <v>225000</v>
      </c>
      <c r="I212" s="1">
        <v>13500000</v>
      </c>
      <c r="J212" s="1">
        <v>1800000</v>
      </c>
    </row>
    <row r="213" spans="1:10" x14ac:dyDescent="0.25">
      <c r="A213" s="2">
        <v>45869</v>
      </c>
      <c r="B213" t="s">
        <v>14</v>
      </c>
      <c r="C213" t="s">
        <v>16</v>
      </c>
      <c r="D213" t="s">
        <v>10</v>
      </c>
      <c r="E213" s="1">
        <v>40</v>
      </c>
      <c r="F213" s="1">
        <v>125000</v>
      </c>
      <c r="G213" s="1">
        <v>5000000</v>
      </c>
      <c r="H213" s="1">
        <v>210000</v>
      </c>
      <c r="I213" s="1">
        <v>8400000</v>
      </c>
      <c r="J213" s="1">
        <v>3400000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 </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Huda Al Hakim</dc:creator>
  <cp:lastModifiedBy>asus</cp:lastModifiedBy>
  <dcterms:created xsi:type="dcterms:W3CDTF">2025-08-27T02:32:13Z</dcterms:created>
  <dcterms:modified xsi:type="dcterms:W3CDTF">2025-11-29T07:41:07Z</dcterms:modified>
</cp:coreProperties>
</file>